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ntee Blocks" sheetId="2" state="visible" r:id="rId4"/>
    <sheet name="Adjustments" sheetId="3" state="visible" r:id="rId5"/>
    <sheet name="Monthly Roll-up" sheetId="4" state="visible" r:id="rId6"/>
    <sheet name="June Reconciliation" sheetId="5" state="visible" r:id="rId7"/>
    <sheet name="Roster" sheetId="6" state="visible" r:id="rId8"/>
    <sheet name="Invoice Source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CoachAccountable line item reads "MN Subscription | (4x Month) Zoom Meetings (Arthur Nisly)" — the product is named for another coach, but Notion and CA both assign this mentee to Harry.</t>
        </r>
      </text>
    </comment>
    <comment ref="B241" authorId="0">
      <text>
        <r>
          <rPr>
            <sz val="10"/>
            <rFont val="Arial"/>
            <family val="2"/>
          </rPr>
          <t xml:space="preserve">CoachAccountable line item reads "MN Subscription | (4x Month) Zoom Meetings (Unspecified Mentor)" — the product is named for another coach, but Notion and CA both assign this mentee to Harry.</t>
        </r>
      </text>
    </comment>
    <comment ref="C33" authorId="0">
      <text>
        <r>
          <rPr>
            <sz val="10"/>
            <rFont val="Arial"/>
            <family val="2"/>
          </rPr>
          <t xml:space="preserve">CoachAccountable line item reads "MN Subscription | (4x Month) Zoom Meetings (Arthur Nisly)" — the product is named for another coach, but Notion and CA both assign this mentee to Harry.</t>
        </r>
      </text>
    </comment>
    <comment ref="C241" authorId="0">
      <text>
        <r>
          <rPr>
            <sz val="10"/>
            <rFont val="Arial"/>
            <family val="2"/>
          </rPr>
          <t xml:space="preserve">CoachAccountable line item reads "MN Subscription | (4x Month) Zoom Meetings (Unspecified Mentor)" — the product is named for another coach, but Notion and CA both assign this mentee to Harry.</t>
        </r>
      </text>
    </comment>
    <comment ref="D33" authorId="0">
      <text>
        <r>
          <rPr>
            <sz val="10"/>
            <rFont val="Arial"/>
            <family val="2"/>
          </rPr>
          <t xml:space="preserve">CoachAccountable line item reads "MN Subscription | (4x Month) Zoom Meetings (Arthur Nisly)" — the product is named for another coach, but Notion and CA both assign this mentee to Harry.</t>
        </r>
      </text>
    </comment>
    <comment ref="F33" authorId="0">
      <text>
        <r>
          <rPr>
            <sz val="10"/>
            <rFont val="Arial"/>
            <family val="2"/>
          </rPr>
          <t xml:space="preserve">CoachAccountable line item reads "MN Subscription | (4x Month) Zoom Meetings (Arthur Nisly)" — the product is named for another coach, but Notion and CA both assign this mentee to Harry.</t>
        </r>
      </text>
    </comment>
    <comment ref="P14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7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40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53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66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79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92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05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18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31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44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57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70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83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196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09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22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35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48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61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74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287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300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313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326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339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  <comment ref="P352" authorId="0">
      <text>
        <r>
          <rPr>
            <sz val="10"/>
            <rFont val="Arial"/>
            <family val="2"/>
          </rPr>
          <t xml:space="preserve">Assured Take-Home minus Harry's Pay: the roll-forward lag still outstanding at the end of this timeline.</t>
        </r>
      </text>
    </comment>
  </commentList>
</comments>
</file>

<file path=xl/sharedStrings.xml><?xml version="1.0" encoding="utf-8"?>
<sst xmlns="http://schemas.openxmlformats.org/spreadsheetml/2006/main" count="1906" uniqueCount="309">
  <si>
    <t xml:space="preserve">Harry Shenk — manual mentor-payout calculation</t>
  </si>
  <si>
    <t xml:space="preserve">Built 2026-07-25 from the Notion Mentees Database (roster), the HJG raw-data export (invoice dates + amounts), and reconciled against the dashboard's June-2026 payout build.</t>
  </si>
  <si>
    <t xml:space="preserve">Headline</t>
  </si>
  <si>
    <t xml:space="preserve">Manual method, June 2026</t>
  </si>
  <si>
    <t xml:space="preserve">Dashboard paystub, June 2026 (reviewed)</t>
  </si>
  <si>
    <t xml:space="preserve">Variance</t>
  </si>
  <si>
    <t xml:space="preserve">The method (your formulas, unchanged)</t>
  </si>
  <si>
    <t xml:space="preserve">Amount               = tier price billed on the invoice's mentoring line, plus any adjustment you switch ON</t>
  </si>
  <si>
    <t xml:space="preserve">Month Start          = the invoice date (CoachAccountable date_of)</t>
  </si>
  <si>
    <t xml:space="preserve">Harry's Percentage   = the mentor revenue share for that calendar month</t>
  </si>
  <si>
    <t xml:space="preserve">% of mo to be paid   = 1 - DAY(Month Start) / DAY(EOMONTH(Month Start, 0))</t>
  </si>
  <si>
    <t xml:space="preserve">Harry's Pay          = Amount x Pct x %ofMo  +  (1 - %ofMo prior) x Amount prior x Pct prior</t>
  </si>
  <si>
    <t xml:space="preserve">Assured Take-Home    = Amount x Pct</t>
  </si>
  <si>
    <t xml:space="preserve">Decisions you made 2026-07-25</t>
  </si>
  <si>
    <t xml:space="preserve">1. Proration uses REAL days in the month (May = 31, June = 30), per your =1-DAY()/DAY(EOMONTH()) formula.</t>
  </si>
  <si>
    <t xml:space="preserve">2. Amount = tier price. Credits and discounts are listed on the Adjustments tab, defaulted OFF, and you</t>
  </si>
  <si>
    <t xml:space="preserve">   can switch any of them ON with a Y/N toggle — the whole workbook recalculates.</t>
  </si>
  <si>
    <t xml:space="preserve">3. David Weaver's two separate May invoices get two columns; Josh Lehman's duplicated 4x line on one</t>
  </si>
  <si>
    <t xml:space="preserve">   invoice is treated as a billing correction (one column, duplicate line OFF on the Adjustments tab).</t>
  </si>
  <si>
    <t xml:space="preserve">4. Each mentee's timeline runs from their first mentoring invoice through one month past their last.</t>
  </si>
  <si>
    <t xml:space="preserve">Assumptions I had to make (flag anything you disagree with)</t>
  </si>
  <si>
    <t xml:space="preserve">A. Roster is the Notion export: 32 mentees list Harry Shenk as Mentor. See the Roster tab for the two</t>
  </si>
  <si>
    <t xml:space="preserve">   mentees CoachAccountable assigns to Harry that Notion does not (Bryce Wenger, William Beachy).</t>
  </si>
  <si>
    <t xml:space="preserve">B. Harry's revenue share ramps on HIS tenure, not each mentee's. Earliest CA engagement = 2024-05-20,</t>
  </si>
  <si>
    <t xml:space="preserve">   so tenure month 2 (June 2024) = 50% and July 2024 onward = 60%. Only Allen Miller's first column is</t>
  </si>
  <si>
    <t xml:space="preserve">   affected. Your sample sheet also used a flat 60% for established mentees.</t>
  </si>
  <si>
    <t xml:space="preserve">C. Pay-eligible revenue = 'MN Subscription | (Nx Month) Zoom Meetings', plus the legacy labels</t>
  </si>
  <si>
    <t xml:space="preserve">   'One-on-One Mentoring', 'Monthly Mentoring Subscription' and 'JumpStart Your Freedom &amp; One-on-One</t>
  </si>
  <si>
    <t xml:space="preserve">   Mentoring'. JYF Supervised Progress, One-Time Setup Fee, standalone JumpStart, MT Engagement and the</t>
  </si>
  <si>
    <t xml:space="preserve">   Marriage Encounter line are NOT mentor pay. Every excluded line is shown on Invoice Source Data.</t>
  </si>
  <si>
    <t xml:space="preserve">D. A month with no invoice gets a zero column so the prior month's remainder still lands there.</t>
  </si>
  <si>
    <t xml:space="preserve">E. Where an invoice's mentoring line was billed below tier (Joel Mast, $400 not $425) the billed figure</t>
  </si>
  <si>
    <t xml:space="preserve">   is used as-is — there is no credit line to toggle.</t>
  </si>
  <si>
    <t xml:space="preserve">Tabs</t>
  </si>
  <si>
    <t xml:space="preserve">Mentee Blocks        — the calculation, one block per mentee, live formulas</t>
  </si>
  <si>
    <t xml:space="preserve">Adjustments          — every credit / duplicate line, with the Y/N include toggle (THE editable tab)</t>
  </si>
  <si>
    <t xml:space="preserve">Monthly Roll-up      — Harry's total pay per calendar month, per mentee</t>
  </si>
  <si>
    <t xml:space="preserve">June Reconciliation  — manual vs the dashboard paystub, per mentee, with the causes priced out</t>
  </si>
  <si>
    <t xml:space="preserve">Roster               — Notion vs CoachAccountable roster comparison</t>
  </si>
  <si>
    <t xml:space="preserve">Invoice Source Data  — every invoice behind the numbers, including the lines that were excluded</t>
  </si>
  <si>
    <t xml:space="preserve">Colour key</t>
  </si>
  <si>
    <t xml:space="preserve">Blue text = hardcoded figure taken from CoachAccountable.  Black = formula.  Green = link to another tab.</t>
  </si>
  <si>
    <t xml:space="preserve">Yellow fill = a cell you are meant to edit.  Red fill = a variance or conflict to look at.</t>
  </si>
  <si>
    <t xml:space="preserve">Harry Shenk — mentee-by-mentee payout calculation</t>
  </si>
  <si>
    <t xml:space="preserve">One block per mentee, oldest mentoring invoice first. Column widths hold up to 13 months; the Total column is at the far right.</t>
  </si>
  <si>
    <t xml:space="preserve">Alex Reiff</t>
  </si>
  <si>
    <t xml:space="preserve">client 277779  ·  Notion: 2x Mentoring  ·  2x current  ·  8 month column(s)</t>
  </si>
  <si>
    <t xml:space="preserve">Month</t>
  </si>
  <si>
    <t xml:space="preserve">December 2025</t>
  </si>
  <si>
    <t xml:space="preserve">January 2026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</si>
  <si>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</si>
  <si>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</si>
  <si>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</si>
  <si>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</si>
  <si>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</si>
  <si>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</si>
  <si>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TOTAL</t>
  </si>
  <si>
    <t xml:space="preserve">Residual</t>
  </si>
  <si>
    <t xml:space="preserve">Invoice #</t>
  </si>
  <si>
    <t xml:space="preserve">— no invoice —</t>
  </si>
  <si>
    <t xml:space="preserve">Tier price billed</t>
  </si>
  <si>
    <t xml:space="preserve">Adjustments applied</t>
  </si>
  <si>
    <t xml:space="preserve">Amount</t>
  </si>
  <si>
    <t xml:space="preserve">Month Start</t>
  </si>
  <si>
    <t xml:space="preserve">—</t>
  </si>
  <si>
    <t xml:space="preserve">Harry's Percentage</t>
  </si>
  <si>
    <t xml:space="preserve">% of mo to be paid</t>
  </si>
  <si>
    <t xml:space="preserve">Harry's Pay</t>
  </si>
  <si>
    <t xml:space="preserve">Assured Take-Home</t>
  </si>
  <si>
    <t xml:space="preserve">Allen Miller</t>
  </si>
  <si>
    <t xml:space="preserve">client 233476  ·  Notion: Done (Quit OR No Mentoring)  ·  4x current  ·  8 month column(s)</t>
  </si>
  <si>
    <t xml:space="preserve">June 2024</t>
  </si>
  <si>
    <t xml:space="preserve">July 2024</t>
  </si>
  <si>
    <t xml:space="preserve">August 2024</t>
  </si>
  <si>
    <t xml:space="preserve">September 2024</t>
  </si>
  <si>
    <t xml:space="preserve">October 2024</t>
  </si>
  <si>
    <t xml:space="preserve">November 2024</t>
  </si>
  <si>
    <t xml:space="preserve">December 2024</t>
  </si>
  <si>
    <t xml:space="preserve">Brandon Burkholder</t>
  </si>
  <si>
    <t xml:space="preserve">client 268818  ·  Notion: 4x Mentoring  ·  4x current  ·  11 month column(s)</t>
  </si>
  <si>
    <t xml:space="preserve">October 2025</t>
  </si>
  <si>
    <t xml:space="preserve">November 2025</t>
  </si>
  <si>
    <t xml:space="preserve">August 2026</t>
  </si>
  <si>
    <t xml:space="preserve">Brennan Petersheim</t>
  </si>
  <si>
    <t xml:space="preserve">client 294186  ·  Notion: 4x Mentoring  ·  4x current  ·  2 month column(s)</t>
  </si>
  <si>
    <t xml:space="preserve">Brett Wengerd</t>
  </si>
  <si>
    <t xml:space="preserve">client 270161  ·  Notion: Done (Quit OR No Mentoring)  ·  4x current  ·  11 month column(s)</t>
  </si>
  <si>
    <t xml:space="preserve">September 2025</t>
  </si>
  <si>
    <t xml:space="preserve">Cade Byers</t>
  </si>
  <si>
    <t xml:space="preserve">client 289853  ·  Notion: 4x Mentoring  ·  4x current  ·  4 month column(s)</t>
  </si>
  <si>
    <t xml:space="preserve">Darin Riehl</t>
  </si>
  <si>
    <t xml:space="preserve">client 273442  ·  Notion: Done (Graduated)  ·  4x current  ·  5 month column(s)</t>
  </si>
  <si>
    <t xml:space="preserve">Daryl Bowman</t>
  </si>
  <si>
    <t xml:space="preserve">client 273424  ·  Notion: Done (Graduated)  ·  2x current  ·  9 month column(s)</t>
  </si>
  <si>
    <t xml:space="preserve">David Weaver</t>
  </si>
  <si>
    <t xml:space="preserve">client 282788  ·  Notion: 4x Mentoring  ·  4x current  ·  5 month column(s)</t>
  </si>
  <si>
    <t xml:space="preserve">Gordon Boone</t>
  </si>
  <si>
    <t xml:space="preserve">client 293922  ·  Notion: 4x Mentoring  ·  4x current  ·  3 month column(s)</t>
  </si>
  <si>
    <t xml:space="preserve">Harvey Stoll</t>
  </si>
  <si>
    <t xml:space="preserve">client 237477  ·  Notion: Done (Other)  ·  4x current  ·  10 month column(s)</t>
  </si>
  <si>
    <t xml:space="preserve">January 2025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</si>
  <si>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</si>
  <si>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</si>
  <si>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</si>
  <si>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</si>
  <si>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</si>
  <si>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</si>
  <si>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</si>
  <si>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Isaiah Hursh</t>
  </si>
  <si>
    <t xml:space="preserve">client 293645  ·  Notion: 4x Mentoring  ·  4x current  ·  4 month column(s)</t>
  </si>
  <si>
    <t xml:space="preserve">Jared Byler</t>
  </si>
  <si>
    <t xml:space="preserve">client 299127  ·  Notion: 4x Mentoring  ·  4x current  ·  2 month column(s)</t>
  </si>
  <si>
    <t xml:space="preserve">Joel Mast</t>
  </si>
  <si>
    <t xml:space="preserve">client 289531  ·  Notion: Done (Graduated)  ·  4x current  ·  2 month column(s)</t>
  </si>
  <si>
    <t xml:space="preserve">John Troyer</t>
  </si>
  <si>
    <t xml:space="preserve">client 267739  ·  Notion: 2x Mentoring  ·  2x current  ·  13 month column(s)</t>
  </si>
  <si>
    <t xml:space="preserve">Josh Blank</t>
  </si>
  <si>
    <t xml:space="preserve">client 249296  ·  Notion: Done (Quit OR No Mentoring)  ·  4x current  ·  5 month column(s)</t>
  </si>
  <si>
    <t xml:space="preserve">Josh Lehman</t>
  </si>
  <si>
    <t xml:space="preserve">client 289870  ·  Notion: 4x Mentoring  ·  4x current  ·  4 month column(s)</t>
  </si>
  <si>
    <t xml:space="preserve">Kendrick Sensenig</t>
  </si>
  <si>
    <t xml:space="preserve">client 289030  ·  Notion: 4x Mentoring  ·  4x current  ·  4 month column(s)</t>
  </si>
  <si>
    <t xml:space="preserve">Landin Troyer</t>
  </si>
  <si>
    <t xml:space="preserve">client 261565  ·  Notion: Done (Graduated)  ·  1x current  ·  9 month column(s)</t>
  </si>
  <si>
    <t xml:space="preserve">Lavon Stoltzfus</t>
  </si>
  <si>
    <t xml:space="preserve">client 267682  ·  Notion: Done (Graduated)  ·  2x current  ·  12 month column(s)</t>
  </si>
  <si>
    <t xml:space="preserve">Luke Smucker</t>
  </si>
  <si>
    <t xml:space="preserve">client 275280  ·  Notion: 2x Mentoring  ·  2x current  ·  11 month column(s)</t>
  </si>
  <si>
    <t xml:space="preserve">Myles Miller</t>
  </si>
  <si>
    <t xml:space="preserve">client 266034  ·  Notion: 4x Mentoring  ·  4x current  ·  13 month column(s)</t>
  </si>
  <si>
    <t xml:space="preserve">Nelson Miller</t>
  </si>
  <si>
    <t xml:space="preserve">client 280895  ·  Notion: 2x Mentoring  ·  2x current  ·  7 month column(s)</t>
  </si>
  <si>
    <t xml:space="preserve">Russ Zehr</t>
  </si>
  <si>
    <t xml:space="preserve">client 113068  ·  Notion: 4x Mentoring  ·  4x current  ·  2 month column(s)</t>
  </si>
  <si>
    <t xml:space="preserve">Sam Glick</t>
  </si>
  <si>
    <t xml:space="preserve">client 250881  ·  Notion: Done (Graduated)  ·  2x current  ·  10 month column(s)</t>
  </si>
  <si>
    <t xml:space="preserve">Stephen Zimmerman</t>
  </si>
  <si>
    <t xml:space="preserve">client 230660  ·  Notion: Done (Quit OR No Mentoring)  ·  4x current  ·  5 month column(s)</t>
  </si>
  <si>
    <t xml:space="preserve">Wynn Miller</t>
  </si>
  <si>
    <t xml:space="preserve">client 262680  ·  Notion: Done (Graduated)  ·  2x current  ·  10 month column(s)</t>
  </si>
  <si>
    <t xml:space="preserve">Notion mentees of Harry with no mentoring invoice in the raw data</t>
  </si>
  <si>
    <t xml:space="preserve">These are JYF / waiting-list or not-yet-started mentees. No mentoring revenue means no payout line.</t>
  </si>
  <si>
    <t xml:space="preserve">Anthony Blades</t>
  </si>
  <si>
    <t xml:space="preserve">client 302455  ·  Notion: 4x Mentoring</t>
  </si>
  <si>
    <t xml:space="preserve">Everett Miller</t>
  </si>
  <si>
    <t xml:space="preserve">client 278176  ·  Notion: Waiting List (JYF)</t>
  </si>
  <si>
    <t xml:space="preserve">Philip Miller</t>
  </si>
  <si>
    <t xml:space="preserve">client 301584  ·  Notion: Waiting List (JYF)</t>
  </si>
  <si>
    <t xml:space="preserve">Ralph Swartzentruber</t>
  </si>
  <si>
    <t xml:space="preserve">client 296245  ·  Notion: Waiting List (JYF)</t>
  </si>
  <si>
    <t xml:space="preserve">Travis Bontrager</t>
  </si>
  <si>
    <t xml:space="preserve">client 296368  ·  Notion: Waiting List (JYF)</t>
  </si>
  <si>
    <t xml:space="preserve">Adjustments — credits, discounts and duplicate lines</t>
  </si>
  <si>
    <t xml:space="preserve">Switch Include? to Y to let a line reduce (or raise) the pay basis. Everything defaults to N, which is 'pay Harry on the tier price'. The Mentee Blocks tab recalculates automatically.</t>
  </si>
  <si>
    <t xml:space="preserve">Key</t>
  </si>
  <si>
    <t xml:space="preserve">Mentee</t>
  </si>
  <si>
    <t xml:space="preserve">Invoice date</t>
  </si>
  <si>
    <t xml:space="preserve">Line item</t>
  </si>
  <si>
    <t xml:space="preserve">Include?</t>
  </si>
  <si>
    <t xml:space="preserve">Effective</t>
  </si>
  <si>
    <t xml:space="preserve">3902#cr1</t>
  </si>
  <si>
    <t xml:space="preserve">Credit for unused appointments   [credit / discount]</t>
  </si>
  <si>
    <t xml:space="preserve">N</t>
  </si>
  <si>
    <t xml:space="preserve">4085#cr1</t>
  </si>
  <si>
    <t xml:space="preserve">Credit for accidental 4x invoice   [credit / discount]</t>
  </si>
  <si>
    <t xml:space="preserve">4109#dup1</t>
  </si>
  <si>
    <t xml:space="preserve">MN Subscription | (4x Month) Zoom Meetings (Harry Shenk)   [duplicate mentoring line]</t>
  </si>
  <si>
    <t xml:space="preserve">4109#cr2</t>
  </si>
  <si>
    <t xml:space="preserve">Credit for previous payment   [credit / discount]</t>
  </si>
  <si>
    <t xml:space="preserve">4109#cr3</t>
  </si>
  <si>
    <t xml:space="preserve">"Apology" Credit   [credit / discount]</t>
  </si>
  <si>
    <t xml:space="preserve">4083#cr1</t>
  </si>
  <si>
    <t xml:space="preserve">First-Month Discount Credit   [credit / discount]</t>
  </si>
  <si>
    <t xml:space="preserve">4157#cr1</t>
  </si>
  <si>
    <t xml:space="preserve">Credit from overpayment last month (Harry Shenk)   [credit / discount]</t>
  </si>
  <si>
    <t xml:space="preserve">4149#cr1</t>
  </si>
  <si>
    <t xml:space="preserve">Credit from payments   [credit / discount]</t>
  </si>
  <si>
    <t xml:space="preserve">4185#cr1</t>
  </si>
  <si>
    <t xml:space="preserve">Credit for the JYF Fee   [credit / discount]</t>
  </si>
  <si>
    <t xml:space="preserve">3643#cr1</t>
  </si>
  <si>
    <t xml:space="preserve">Subscription Credit from Overpayment in August   [credit / discount]</t>
  </si>
  <si>
    <t xml:space="preserve">Total adjustment currently applied</t>
  </si>
  <si>
    <t xml:space="preserve">Note: the dashboard's June build had a reviewer remove exactly these credits, which is why its 'Engine payout' ($3,017.70) and 'Effective payout' ($3,273.50) differ.</t>
  </si>
  <si>
    <t xml:space="preserve">Harry Shenk — total pay by calendar month (manual method)</t>
  </si>
  <si>
    <t xml:space="preserve">Each cell links straight to that mentee's Harry's Pay cell on the Mentee Blocks tab.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</si>
  <si>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</si>
  <si>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</si>
  <si>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</si>
  <si>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</si>
  <si>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</si>
  <si>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</si>
  <si>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</si>
  <si>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</si>
  <si>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</si>
  <si>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</si>
  <si>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</si>
  <si>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</si>
  <si>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</si>
  <si>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</si>
  <si>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</si>
  <si>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</si>
  <si>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</si>
  <si>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</si>
  <si>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</si>
  <si>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</si>
  <si>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</si>
  <si>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</si>
  <si>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</si>
  <si>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</si>
  <si>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</si>
  <si>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</si>
  <si>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</si>
  <si>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June 2026 — manual calculation vs the dashboard paystub</t>
  </si>
  <si>
    <t xml:space="preserve">Manual figures link live to the Monthly Roll-up. Dashboard figures are typed from payoutbuildharryshenk20260620260725.csv.</t>
  </si>
  <si>
    <t xml:space="preserve">Bridge — what explains the gap</t>
  </si>
  <si>
    <t xml:space="preserve">Step</t>
  </si>
  <si>
    <t xml:space="preserve">Why</t>
  </si>
  <si>
    <t xml:space="preserve">Manual method as built (this workbook)</t>
  </si>
  <si>
    <t xml:space="preserve">Step 1 — proration on a fixed 30-day month instead of real days</t>
  </si>
  <si>
    <t xml:space="preserve">The dashboard divides by 30 always; your formula divides by 31 in May.</t>
  </si>
  <si>
    <t xml:space="preserve">Step 2 — David Weaver's two May invoices grouped into one calendar month</t>
  </si>
  <si>
    <t xml:space="preserve">Chained columns send the 17 May remainder into the 21 May column; the dashboard sends both into June.</t>
  </si>
  <si>
    <t xml:space="preserve">Step 3 — Josh Lehman's duplicate 4x line counted as revenue</t>
  </si>
  <si>
    <t xml:space="preserve">You chose to treat it as a billing correction; the dashboard pays on it.</t>
  </si>
  <si>
    <t xml:space="preserve">Equals — dashboard paystub, June 2026 (Effective payout)</t>
  </si>
  <si>
    <t xml:space="preserve">&lt;- bridge minus the paystub total below; must be zero</t>
  </si>
  <si>
    <t xml:space="preserve">Line by line</t>
  </si>
  <si>
    <t xml:space="preserve">Manual (this workbook)</t>
  </si>
  <si>
    <t xml:space="preserve">Dashboard — Effective</t>
  </si>
  <si>
    <t xml:space="preserve">Variance vs Effective</t>
  </si>
  <si>
    <t xml:space="preserve">Dashboard — Engine (pre-review)</t>
  </si>
  <si>
    <t xml:space="preserve">Variance vs Engine</t>
  </si>
  <si>
    <t xml:space="preserve">What differs</t>
  </si>
  <si>
    <t xml:space="preserve">Two May invoices (4108 on the 17th, 4113 on the 21st). Your two-column layout keeps the 17 May remainder inside May; the dashboard rolls both May invoices into June. Plus 31-vs-30 days.</t>
  </si>
  <si>
    <t xml:space="preserve">Invoice 4109 carries two $425 4x lines. You treat the second as a correction (toggle OFF on Adjustments); the dashboard pays on both. Plus 31-vs-30 days.</t>
  </si>
  <si>
    <t xml:space="preserve">Proration denominator only: your formula divides the May invoice by 31 real days, the dashboard divides by a fixed 30.</t>
  </si>
  <si>
    <t xml:space="preserve">Ike Hursh</t>
  </si>
  <si>
    <t xml:space="preserve">Matches — first mentoring invoice is 17 June, and June has 30 days so both methods agree.</t>
  </si>
  <si>
    <t xml:space="preserve">Matches — 11 June invoice, no May mentoring invoice to roll forward, 30-day month.</t>
  </si>
  <si>
    <t xml:space="preserve">Matches — 29 June invoice, no May mentoring invoice, 30-day month.</t>
  </si>
  <si>
    <t xml:space="preserve">Engine vs Effective: the dashboard's raw engine number is what it computes from the net invoice (credits applied). A reviewer removed six credit lines, which is the $255.80 difference. This workbook defaults to the same position — tier price, credits OFF.</t>
  </si>
  <si>
    <t xml:space="preserve">Amber fill in the Engine column = a line the reviewer overrode.</t>
  </si>
  <si>
    <t xml:space="preserve">Roster — Notion (source of truth) vs CoachAccountable</t>
  </si>
  <si>
    <t xml:space="preserve">The Notion Mentees Database is authoritative for who mentors whom. This tab shows where CoachAccountable disagrees.</t>
  </si>
  <si>
    <t xml:space="preserve">Notion mentee</t>
  </si>
  <si>
    <t xml:space="preserve">Notion status</t>
  </si>
  <si>
    <t xml:space="preserve">Notion mentor</t>
  </si>
  <si>
    <t xml:space="preserve">CA client ID</t>
  </si>
  <si>
    <t xml:space="preserve">CA name</t>
  </si>
  <si>
    <t xml:space="preserve">CA owner coach</t>
  </si>
  <si>
    <t xml:space="preserve">CA tier</t>
  </si>
  <si>
    <t xml:space="preserve">Mentoring months in data</t>
  </si>
  <si>
    <t xml:space="preserve">In June 2026 payout?</t>
  </si>
  <si>
    <t xml:space="preserve">Flag</t>
  </si>
  <si>
    <t xml:space="preserve">2x Mentoring</t>
  </si>
  <si>
    <t xml:space="preserve">Harry Shenk</t>
  </si>
  <si>
    <t xml:space="preserve">2x</t>
  </si>
  <si>
    <t xml:space="preserve">yes</t>
  </si>
  <si>
    <t xml:space="preserve">Done (Quit OR No Mentoring)</t>
  </si>
  <si>
    <t xml:space="preserve">4x</t>
  </si>
  <si>
    <t xml:space="preserve">no</t>
  </si>
  <si>
    <t xml:space="preserve">4x Mentoring</t>
  </si>
  <si>
    <t xml:space="preserve">Done (Graduated)</t>
  </si>
  <si>
    <t xml:space="preserve">Waiting List (JYF)</t>
  </si>
  <si>
    <t xml:space="preserve">jumpstart</t>
  </si>
  <si>
    <t xml:space="preserve">Done (Other)</t>
  </si>
  <si>
    <t xml:space="preserve">1x</t>
  </si>
  <si>
    <t xml:space="preserve">dashboard has a stored Notion coach conflict (it holds 'Phil Herschberger')</t>
  </si>
  <si>
    <t xml:space="preserve">Samuel Glick</t>
  </si>
  <si>
    <t xml:space="preserve">Assigned to Harry in CoachAccountable but NOT in the Notion export</t>
  </si>
  <si>
    <t xml:space="preserve">CA status</t>
  </si>
  <si>
    <t xml:space="preserve">June 2026 impact</t>
  </si>
  <si>
    <t xml:space="preserve">Bryce Wenger</t>
  </si>
  <si>
    <t xml:space="preserve">active</t>
  </si>
  <si>
    <t xml:space="preserve">~None Assigned</t>
  </si>
  <si>
    <t xml:space="preserve">none — his 24 June invoice is JYF only. But his 23 July invoice is a $425 4x line, so he WILL matter for the July payout. Decide who owns him before then.</t>
  </si>
  <si>
    <t xml:space="preserve">William Beachy</t>
  </si>
  <si>
    <t xml:space="preserve">inactive</t>
  </si>
  <si>
    <t xml:space="preserve">(blank)</t>
  </si>
  <si>
    <t xml:space="preserve">none — no 2026 invoices at all.</t>
  </si>
  <si>
    <t xml:space="preserve">Invoice source data — every mentoring invoice behind this workbook</t>
  </si>
  <si>
    <t xml:space="preserve">From the hjgrawdata 2026-07-25 export, table ca_invoices. 'Lines excluded' shows what was on the invoice but is not mentor pay.</t>
  </si>
  <si>
    <t xml:space="preserve">Client ID</t>
  </si>
  <si>
    <t xml:space="preserve">Mentoring line item</t>
  </si>
  <si>
    <t xml:space="preserve">Tier</t>
  </si>
  <si>
    <t xml:space="preserve">Tier price</t>
  </si>
  <si>
    <t xml:space="preserve">Invoice total billed</t>
  </si>
  <si>
    <t xml:space="preserve">Collected</t>
  </si>
  <si>
    <t xml:space="preserve">Lines excluded from pay</t>
  </si>
  <si>
    <t xml:space="preserve">Adjustment lines (see Adjustments tab)</t>
  </si>
  <si>
    <t xml:space="preserve">MN Subscription | (4x Month) Zoom Meetings (Harry Shenk)</t>
  </si>
  <si>
    <t xml:space="preserve">MN Subscription | (2x Month) Zoom Meetings (Harry Shenk)</t>
  </si>
  <si>
    <t xml:space="preserve">JumpStart Your Freedom &amp; One-on-One Mentoring</t>
  </si>
  <si>
    <t xml:space="preserve">One-Time Setup Fee ($35.00)</t>
  </si>
  <si>
    <t xml:space="preserve">MN Subscription | (4x Month) Zoom Meetings (Arthur Nisly)</t>
  </si>
  <si>
    <t xml:space="preserve">Credit for unused appointments ($-212.50)</t>
  </si>
  <si>
    <t xml:space="preserve">MN Subscription | (2x Month) Zoom Meetings (Harry Shank)</t>
  </si>
  <si>
    <t xml:space="preserve">Credit for accidental 4x invoice ($-160.00)</t>
  </si>
  <si>
    <t xml:space="preserve">Monthly Mentoring Subscription</t>
  </si>
  <si>
    <t xml:space="preserve">MN Subscription | (4x Month) Zoom Meetings (Harry Shenk) ($425.00); Credit for previous payment ($-175.00); "Apology" Credit ($-50.00)</t>
  </si>
  <si>
    <t xml:space="preserve">First-Month Discount Credit ($-70.00)</t>
  </si>
  <si>
    <t xml:space="preserve">MN Subscription | (4x Month) Zoom Meetings (Unspecified Mentor)</t>
  </si>
  <si>
    <t xml:space="preserve">MN Subscription | (1x Month) Zoom Meetings (Harry Shenk)</t>
  </si>
  <si>
    <t xml:space="preserve">Credit from overpayment last month (Harry Shenk) ($-160.00)</t>
  </si>
  <si>
    <t xml:space="preserve">Credit from payments ($-250.00)</t>
  </si>
  <si>
    <t xml:space="preserve">Credit for the JYF Fee ($-175.00)</t>
  </si>
  <si>
    <t xml:space="preserve">One-on-One Mentoring</t>
  </si>
  <si>
    <t xml:space="preserve">Subscription Credit from Overpayment in August ($-250.00)</t>
  </si>
  <si>
    <t xml:space="preserve">Pink fill in Collected = billed but not fully paid. Mentor pay is calculated on BILLED revenue, matching both your sample sheet and the dashboard.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</si>
</sst>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"/>
    <numFmt numFmtId="167" formatCode="\$#,##0;&quot;($&quot;#,##0\);\-"/>
    <numFmt numFmtId="168" formatCode="mmmm\ d&quot;, &quot;yyyy"/>
    <numFmt numFmtId="169" formatCode="0.0%"/>
    <numFmt numFmtId="170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BFBFBF"/>
      <name val="Arial"/>
      <family val="0"/>
      <charset val="1"/>
    </font>
    <font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'June Reconciliation'!B6</f>
        <v>2983.5935483871</v>
      </c>
    </row>
    <row r="6" customFormat="false" ht="15" hidden="false" customHeight="false" outlineLevel="0" collapsed="false">
      <c r="A6" s="4" t="s">
        <v>4</v>
      </c>
      <c r="B6" s="5" t="n">
        <f aca="false">'June Reconciliation'!B10</f>
        <v>3273.5</v>
      </c>
    </row>
    <row r="7" customFormat="false" ht="15" hidden="false" customHeight="false" outlineLevel="0" collapsed="false">
      <c r="A7" s="4" t="s">
        <v>5</v>
      </c>
      <c r="B7" s="5" t="n">
        <f aca="false">('June Reconciliation'!B6-'June Reconciliation'!B10)</f>
        <v>-289.9064516129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6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6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6" t="s">
        <v>16</v>
      </c>
    </row>
    <row r="21" customFormat="false" ht="15" hidden="false" customHeight="false" outlineLevel="0" collapsed="false">
      <c r="A21" s="6" t="s">
        <v>17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6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6" t="s">
        <v>21</v>
      </c>
    </row>
    <row r="27" customFormat="false" ht="15" hidden="false" customHeight="false" outlineLevel="0" collapsed="false">
      <c r="A27" s="6" t="s">
        <v>22</v>
      </c>
    </row>
    <row r="28" customFormat="false" ht="15" hidden="false" customHeight="false" outlineLevel="0" collapsed="false">
      <c r="A28" s="6" t="s">
        <v>23</v>
      </c>
    </row>
    <row r="29" customFormat="false" ht="15" hidden="false" customHeight="false" outlineLevel="0" collapsed="false">
      <c r="A29" s="6" t="s">
        <v>24</v>
      </c>
    </row>
    <row r="30" customFormat="false" ht="15" hidden="false" customHeight="false" outlineLevel="0" collapsed="false">
      <c r="A30" s="6" t="s">
        <v>25</v>
      </c>
    </row>
    <row r="31" customFormat="false" ht="15" hidden="false" customHeight="false" outlineLevel="0" collapsed="false">
      <c r="A31" s="6" t="s">
        <v>26</v>
      </c>
    </row>
    <row r="32" customFormat="false" ht="15" hidden="false" customHeight="false" outlineLevel="0" collapsed="false">
      <c r="A32" s="6" t="s">
        <v>27</v>
      </c>
    </row>
    <row r="33" customFormat="false" ht="15" hidden="false" customHeight="false" outlineLevel="0" collapsed="false">
      <c r="A33" s="6" t="s">
        <v>28</v>
      </c>
    </row>
    <row r="34" customFormat="false" ht="15" hidden="false" customHeight="false" outlineLevel="0" collapsed="false">
      <c r="A34" s="6" t="s">
        <v>29</v>
      </c>
    </row>
    <row r="35" customFormat="false" ht="15" hidden="false" customHeight="false" outlineLevel="0" collapsed="false">
      <c r="A35" s="6" t="s">
        <v>30</v>
      </c>
    </row>
    <row r="36" customFormat="false" ht="15" hidden="false" customHeight="false" outlineLevel="0" collapsed="false">
      <c r="A36" s="6" t="s">
        <v>31</v>
      </c>
    </row>
    <row r="37" customFormat="false" ht="15" hidden="false" customHeight="false" outlineLevel="0" collapsed="false">
      <c r="A37" s="6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6" t="s">
        <v>34</v>
      </c>
    </row>
    <row r="41" customFormat="false" ht="15" hidden="false" customHeight="false" outlineLevel="0" collapsed="false">
      <c r="A41" s="6" t="s">
        <v>35</v>
      </c>
    </row>
    <row r="42" customFormat="false" ht="15" hidden="false" customHeight="false" outlineLevel="0" collapsed="false">
      <c r="A42" s="6" t="s">
        <v>36</v>
      </c>
    </row>
    <row r="43" customFormat="false" ht="15" hidden="false" customHeight="false" outlineLevel="0" collapsed="false">
      <c r="A43" s="6" t="s">
        <v>37</v>
      </c>
    </row>
    <row r="44" customFormat="false" ht="15" hidden="false" customHeight="false" outlineLevel="0" collapsed="false">
      <c r="A44" s="6" t="s">
        <v>38</v>
      </c>
    </row>
    <row r="45" customFormat="false" ht="15" hidden="false" customHeight="false" outlineLevel="0" collapsed="false">
      <c r="A45" s="6" t="s">
        <v>39</v>
      </c>
    </row>
    <row r="47" customFormat="false" ht="15" hidden="false" customHeight="false" outlineLevel="0" collapsed="false">
      <c r="A47" s="3" t="s">
        <v>40</v>
      </c>
    </row>
    <row r="48" customFormat="false" ht="15" hidden="false" customHeight="false" outlineLevel="0" collapsed="false">
      <c r="A48" s="6" t="s">
        <v>41</v>
      </c>
    </row>
    <row r="49" customFormat="false" ht="15" hidden="false" customHeight="false" outlineLevel="0" collapsed="false">
      <c r="A49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5"/>
    <col collapsed="false" customWidth="true" hidden="false" outlineLevel="0" max="16" min="15" style="0" width="1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7" t="s">
        <v>44</v>
      </c>
    </row>
    <row r="4" customFormat="false" ht="15" hidden="false" customHeight="false" outlineLevel="0" collapsed="false">
      <c r="A4" s="8" t="s">
        <v>45</v>
      </c>
      <c r="B4" s="9" t="s">
        <v>46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customFormat="false" ht="15" hidden="false" customHeight="false" outlineLevel="0" collapsed="false">
      <c r="A5" s="6" t="s">
        <v>47</v>
      </c>
      <c r="B5" s="11" t="s">
        <v>48</v>
      </c>
      <c r="C5" s="11" t="s">
        <v>49</v>
      </c>
      <c r="D5" s="11" t="s">
        <v>50</v>
      </c>
      <c r="E5" s="11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O5" s="4" t="s">
        <v>56</v>
      </c>
      <c r="P5" s="4" t="s">
        <v>57</v>
      </c>
    </row>
    <row r="6" customFormat="false" ht="15" hidden="false" customHeight="false" outlineLevel="0" collapsed="false">
      <c r="A6" s="6" t="s">
        <v>58</v>
      </c>
      <c r="B6" s="12" t="n">
        <v>3803</v>
      </c>
      <c r="C6" s="12" t="n">
        <v>3857</v>
      </c>
      <c r="D6" s="12" t="n">
        <v>3910</v>
      </c>
      <c r="E6" s="12" t="n">
        <v>3958</v>
      </c>
      <c r="F6" s="12" t="n">
        <v>4015</v>
      </c>
      <c r="G6" s="12" t="n">
        <v>4071</v>
      </c>
      <c r="H6" s="12" t="n">
        <v>4170</v>
      </c>
      <c r="I6" s="13" t="s">
        <v>59</v>
      </c>
    </row>
    <row r="7" customFormat="false" ht="15" hidden="false" customHeight="false" outlineLevel="0" collapsed="false">
      <c r="A7" s="6" t="s">
        <v>60</v>
      </c>
      <c r="B7" s="14" t="n">
        <v>425</v>
      </c>
      <c r="C7" s="14" t="n">
        <v>425</v>
      </c>
      <c r="D7" s="14" t="n">
        <v>425</v>
      </c>
      <c r="E7" s="14" t="n">
        <v>425</v>
      </c>
      <c r="F7" s="14" t="n">
        <v>425</v>
      </c>
      <c r="G7" s="14" t="n">
        <v>425</v>
      </c>
      <c r="H7" s="14" t="n">
        <v>265</v>
      </c>
      <c r="I7" s="14" t="n">
        <v>0</v>
      </c>
    </row>
    <row r="8" customFormat="false" ht="15" hidden="false" customHeight="false" outlineLevel="0" collapsed="false">
      <c r="A8" s="6" t="s">
        <v>61</v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</row>
    <row r="9" customFormat="false" ht="15" hidden="false" customHeight="false" outlineLevel="0" collapsed="false">
      <c r="A9" s="4" t="s">
        <v>62</v>
      </c>
      <c r="B9" s="16" t="n">
        <f aca="false">B7+B8</f>
        <v>425</v>
      </c>
      <c r="C9" s="16" t="n">
        <f aca="false">C7+C8</f>
        <v>425</v>
      </c>
      <c r="D9" s="16" t="n">
        <f aca="false">D7+D8</f>
        <v>425</v>
      </c>
      <c r="E9" s="16" t="n">
        <f aca="false">E7+E8</f>
        <v>425</v>
      </c>
      <c r="F9" s="16" t="n">
        <f aca="false">F7+F8</f>
        <v>425</v>
      </c>
      <c r="G9" s="16" t="n">
        <f aca="false">G7+G8</f>
        <v>425</v>
      </c>
      <c r="H9" s="16" t="n">
        <f aca="false">H7+H8</f>
        <v>265</v>
      </c>
      <c r="I9" s="16" t="n">
        <f aca="false">I7+I8</f>
        <v>0</v>
      </c>
    </row>
    <row r="10" customFormat="false" ht="15" hidden="false" customHeight="false" outlineLevel="0" collapsed="false">
      <c r="A10" s="6" t="s">
        <v>63</v>
      </c>
      <c r="B10" s="17" t="n">
        <v>45999</v>
      </c>
      <c r="C10" s="17" t="n">
        <v>46030</v>
      </c>
      <c r="D10" s="17" t="n">
        <v>46061</v>
      </c>
      <c r="E10" s="17" t="n">
        <v>46089</v>
      </c>
      <c r="F10" s="17" t="n">
        <v>46120</v>
      </c>
      <c r="G10" s="17" t="n">
        <v>46150</v>
      </c>
      <c r="H10" s="17" t="n">
        <v>46194</v>
      </c>
      <c r="I10" s="18" t="s">
        <v>64</v>
      </c>
    </row>
    <row r="11" customFormat="false" ht="15" hidden="false" customHeight="false" outlineLevel="0" collapsed="false">
      <c r="A11" s="6" t="s">
        <v>65</v>
      </c>
      <c r="B11" s="19" t="n">
        <v>0.6</v>
      </c>
      <c r="C11" s="19" t="n">
        <v>0.6</v>
      </c>
      <c r="D11" s="19" t="n">
        <v>0.6</v>
      </c>
      <c r="E11" s="19" t="n">
        <v>0.6</v>
      </c>
      <c r="F11" s="19" t="n">
        <v>0.6</v>
      </c>
      <c r="G11" s="19" t="n">
        <v>0.6</v>
      </c>
      <c r="H11" s="19" t="n">
        <v>0.6</v>
      </c>
      <c r="I11" s="19" t="n">
        <v>0.6</v>
      </c>
    </row>
    <row r="12" customFormat="false" ht="15" hidden="false" customHeight="false" outlineLevel="0" collapsed="false">
      <c r="A12" s="6" t="s">
        <v>66</v>
      </c>
      <c r="B12" s="20" t="n">
        <f aca="false">1-DAY(B10)/DAY(EOMONTH(B10,0))</f>
        <v>0.741935483870968</v>
      </c>
      <c r="C12" s="20" t="n">
        <f aca="false">1-DAY(C10)/DAY(EOMONTH(C10,0))</f>
        <v>0.741935483870968</v>
      </c>
      <c r="D12" s="20" t="n">
        <f aca="false">1-DAY(D10)/DAY(EOMONTH(D10,0))</f>
        <v>0.714285714285714</v>
      </c>
      <c r="E12" s="20" t="n">
        <f aca="false">1-DAY(E10)/DAY(EOMONTH(E10,0))</f>
        <v>0.741935483870968</v>
      </c>
      <c r="F12" s="20" t="n">
        <f aca="false">1-DAY(F10)/DAY(EOMONTH(F10,0))</f>
        <v>0.733333333333333</v>
      </c>
      <c r="G12" s="20" t="n">
        <f aca="false">1-DAY(G10)/DAY(EOMONTH(G10,0))</f>
        <v>0.741935483870968</v>
      </c>
      <c r="H12" s="20" t="n">
        <f aca="false">1-DAY(H10)/DAY(EOMONTH(H10,0))</f>
        <v>0.3</v>
      </c>
      <c r="I12" s="20" t="n">
        <v>0</v>
      </c>
    </row>
    <row r="13" customFormat="false" ht="15" hidden="false" customHeight="false" outlineLevel="0" collapsed="false">
      <c r="A13" s="4" t="s">
        <v>67</v>
      </c>
      <c r="B13" s="16" t="n">
        <f aca="false">B9*B11*B12</f>
        <v>189.193548387097</v>
      </c>
      <c r="C13" s="16" t="n">
        <f aca="false">C9*C11*C12+(1-B12)*B9*B11</f>
        <v>255</v>
      </c>
      <c r="D13" s="16" t="n">
        <f aca="false">D9*D11*D12+(1-C12)*C9*C11</f>
        <v>247.94930875576</v>
      </c>
      <c r="E13" s="16" t="n">
        <f aca="false">E9*E11*E12+(1-D12)*D9*D11</f>
        <v>262.05069124424</v>
      </c>
      <c r="F13" s="16" t="n">
        <f aca="false">F9*F11*F12+(1-E12)*E9*E11</f>
        <v>252.806451612903</v>
      </c>
      <c r="G13" s="16" t="n">
        <f aca="false">G9*G11*G12+(1-F12)*F9*F11</f>
        <v>257.193548387097</v>
      </c>
      <c r="H13" s="16" t="n">
        <f aca="false">H9*H11*H12+(1-G12)*G9*G11</f>
        <v>113.506451612903</v>
      </c>
      <c r="I13" s="16" t="n">
        <f aca="false">I9*I11*I12+(1-H12)*H9*H11</f>
        <v>111.3</v>
      </c>
      <c r="O13" s="16" t="n">
        <f aca="false">SUM(B13:I13)</f>
        <v>1689</v>
      </c>
    </row>
    <row r="14" customFormat="false" ht="15" hidden="false" customHeight="false" outlineLevel="0" collapsed="false">
      <c r="A14" s="21" t="s">
        <v>68</v>
      </c>
      <c r="B14" s="22" t="n">
        <f aca="false">B9*B11</f>
        <v>255</v>
      </c>
      <c r="C14" s="22" t="n">
        <f aca="false">C9*C11</f>
        <v>255</v>
      </c>
      <c r="D14" s="22" t="n">
        <f aca="false">D9*D11</f>
        <v>255</v>
      </c>
      <c r="E14" s="22" t="n">
        <f aca="false">E9*E11</f>
        <v>255</v>
      </c>
      <c r="F14" s="22" t="n">
        <f aca="false">F9*F11</f>
        <v>255</v>
      </c>
      <c r="G14" s="22" t="n">
        <f aca="false">G9*G11</f>
        <v>255</v>
      </c>
      <c r="H14" s="22" t="n">
        <f aca="false">H9*H11</f>
        <v>159</v>
      </c>
      <c r="I14" s="22" t="n">
        <f aca="false">I9*I11</f>
        <v>0</v>
      </c>
      <c r="J14" s="23"/>
      <c r="K14" s="23"/>
      <c r="L14" s="23"/>
      <c r="M14" s="23"/>
      <c r="N14" s="23"/>
      <c r="O14" s="24" t="n">
        <f aca="false">SUM(B14:I14)</f>
        <v>1689</v>
      </c>
      <c r="P14" s="24" t="n">
        <f aca="false">O14-O13</f>
        <v>0</v>
      </c>
    </row>
    <row r="17" customFormat="false" ht="15" hidden="false" customHeight="false" outlineLevel="0" collapsed="false">
      <c r="A17" s="8" t="s">
        <v>69</v>
      </c>
      <c r="B17" s="9" t="s">
        <v>70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customFormat="false" ht="15" hidden="false" customHeight="false" outlineLevel="0" collapsed="false">
      <c r="A18" s="6" t="s">
        <v>47</v>
      </c>
      <c r="B18" s="11" t="s">
        <v>71</v>
      </c>
      <c r="C18" s="11" t="s">
        <v>72</v>
      </c>
      <c r="D18" s="11" t="s">
        <v>73</v>
      </c>
      <c r="E18" s="11" t="s">
        <v>74</v>
      </c>
      <c r="F18" s="11" t="s">
        <v>74</v>
      </c>
      <c r="G18" s="11" t="s">
        <v>75</v>
      </c>
      <c r="H18" s="11" t="s">
        <v>76</v>
      </c>
      <c r="I18" s="11" t="s">
        <v>77</v>
      </c>
      <c r="O18" s="4" t="s">
        <v>56</v>
      </c>
      <c r="P18" s="4" t="s">
        <v>57</v>
      </c>
    </row>
    <row r="19" customFormat="false" ht="15" hidden="false" customHeight="false" outlineLevel="0" collapsed="false">
      <c r="A19" s="6" t="s">
        <v>58</v>
      </c>
      <c r="B19" s="12" t="n">
        <v>3065</v>
      </c>
      <c r="C19" s="12" t="n">
        <v>3117</v>
      </c>
      <c r="D19" s="13" t="s">
        <v>59</v>
      </c>
      <c r="E19" s="12" t="n">
        <v>3164</v>
      </c>
      <c r="F19" s="12" t="n">
        <v>3198</v>
      </c>
      <c r="G19" s="12" t="n">
        <v>3239</v>
      </c>
      <c r="H19" s="12" t="n">
        <v>3269</v>
      </c>
      <c r="I19" s="13" t="s">
        <v>59</v>
      </c>
    </row>
    <row r="20" customFormat="false" ht="15" hidden="false" customHeight="false" outlineLevel="0" collapsed="false">
      <c r="A20" s="6" t="s">
        <v>60</v>
      </c>
      <c r="B20" s="14" t="n">
        <v>425</v>
      </c>
      <c r="C20" s="14" t="n">
        <v>425</v>
      </c>
      <c r="D20" s="14" t="n">
        <v>0</v>
      </c>
      <c r="E20" s="14" t="n">
        <v>425</v>
      </c>
      <c r="F20" s="14" t="n">
        <v>425</v>
      </c>
      <c r="G20" s="14" t="n">
        <v>425</v>
      </c>
      <c r="H20" s="14" t="n">
        <v>425</v>
      </c>
      <c r="I20" s="14" t="n">
        <v>0</v>
      </c>
    </row>
    <row r="21" customFormat="false" ht="15" hidden="false" customHeight="false" outlineLevel="0" collapsed="false">
      <c r="A21" s="6" t="s">
        <v>61</v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</row>
    <row r="22" customFormat="false" ht="15" hidden="false" customHeight="false" outlineLevel="0" collapsed="false">
      <c r="A22" s="4" t="s">
        <v>62</v>
      </c>
      <c r="B22" s="16" t="n">
        <f aca="false">B20+B21</f>
        <v>425</v>
      </c>
      <c r="C22" s="16" t="n">
        <f aca="false">C20+C21</f>
        <v>425</v>
      </c>
      <c r="D22" s="16" t="n">
        <f aca="false">D20+D21</f>
        <v>0</v>
      </c>
      <c r="E22" s="16" t="n">
        <f aca="false">E20+E21</f>
        <v>425</v>
      </c>
      <c r="F22" s="16" t="n">
        <f aca="false">F20+F21</f>
        <v>425</v>
      </c>
      <c r="G22" s="16" t="n">
        <f aca="false">G20+G21</f>
        <v>425</v>
      </c>
      <c r="H22" s="16" t="n">
        <f aca="false">H20+H21</f>
        <v>425</v>
      </c>
      <c r="I22" s="16" t="n">
        <f aca="false">I20+I21</f>
        <v>0</v>
      </c>
    </row>
    <row r="23" customFormat="false" ht="15" hidden="false" customHeight="false" outlineLevel="0" collapsed="false">
      <c r="A23" s="6" t="s">
        <v>63</v>
      </c>
      <c r="B23" s="17" t="n">
        <v>45463</v>
      </c>
      <c r="C23" s="17" t="n">
        <v>45504</v>
      </c>
      <c r="D23" s="18" t="s">
        <v>64</v>
      </c>
      <c r="E23" s="17" t="n">
        <v>45536</v>
      </c>
      <c r="F23" s="17" t="n">
        <v>45559</v>
      </c>
      <c r="G23" s="17" t="n">
        <v>45590</v>
      </c>
      <c r="H23" s="17" t="n">
        <v>45621</v>
      </c>
      <c r="I23" s="18" t="s">
        <v>64</v>
      </c>
    </row>
    <row r="24" customFormat="false" ht="15" hidden="false" customHeight="false" outlineLevel="0" collapsed="false">
      <c r="A24" s="6" t="s">
        <v>65</v>
      </c>
      <c r="B24" s="19" t="n">
        <v>0.5</v>
      </c>
      <c r="C24" s="19" t="n">
        <v>0.6</v>
      </c>
      <c r="D24" s="19" t="n">
        <v>0.6</v>
      </c>
      <c r="E24" s="19" t="n">
        <v>0.6</v>
      </c>
      <c r="F24" s="19" t="n">
        <v>0.6</v>
      </c>
      <c r="G24" s="19" t="n">
        <v>0.6</v>
      </c>
      <c r="H24" s="19" t="n">
        <v>0.6</v>
      </c>
      <c r="I24" s="19" t="n">
        <v>0.6</v>
      </c>
    </row>
    <row r="25" customFormat="false" ht="15" hidden="false" customHeight="false" outlineLevel="0" collapsed="false">
      <c r="A25" s="6" t="s">
        <v>66</v>
      </c>
      <c r="B25" s="20" t="n">
        <f aca="false">1-DAY(B23)/DAY(EOMONTH(B23,0))</f>
        <v>0.333333333333333</v>
      </c>
      <c r="C25" s="20" t="n">
        <f aca="false">1-DAY(C23)/DAY(EOMONTH(C23,0))</f>
        <v>0</v>
      </c>
      <c r="D25" s="20" t="n">
        <v>0</v>
      </c>
      <c r="E25" s="20" t="n">
        <f aca="false">1-DAY(E23)/DAY(EOMONTH(E23,0))</f>
        <v>0.966666666666667</v>
      </c>
      <c r="F25" s="20" t="n">
        <f aca="false">1-DAY(F23)/DAY(EOMONTH(F23,0))</f>
        <v>0.2</v>
      </c>
      <c r="G25" s="20" t="n">
        <f aca="false">1-DAY(G23)/DAY(EOMONTH(G23,0))</f>
        <v>0.193548387096774</v>
      </c>
      <c r="H25" s="20" t="n">
        <f aca="false">1-DAY(H23)/DAY(EOMONTH(H23,0))</f>
        <v>0.166666666666667</v>
      </c>
      <c r="I25" s="20" t="n">
        <v>0</v>
      </c>
    </row>
    <row r="26" customFormat="false" ht="15" hidden="false" customHeight="false" outlineLevel="0" collapsed="false">
      <c r="A26" s="4" t="s">
        <v>67</v>
      </c>
      <c r="B26" s="16" t="n">
        <f aca="false">B22*B24*B25</f>
        <v>70.8333333333333</v>
      </c>
      <c r="C26" s="16" t="n">
        <f aca="false">C22*C24*C25+(1-B25)*B22*B24</f>
        <v>141.666666666667</v>
      </c>
      <c r="D26" s="16" t="n">
        <f aca="false">D22*D24*D25+(1-C25)*C22*C24</f>
        <v>255</v>
      </c>
      <c r="E26" s="16" t="n">
        <f aca="false">E22*E24*E25+(1-D25)*D22*D24</f>
        <v>246.5</v>
      </c>
      <c r="F26" s="16" t="n">
        <f aca="false">F22*F24*F25+(1-E25)*E22*E24</f>
        <v>59.5</v>
      </c>
      <c r="G26" s="16" t="n">
        <f aca="false">G22*G24*G25+(1-F25)*F22*F24</f>
        <v>253.354838709677</v>
      </c>
      <c r="H26" s="16" t="n">
        <f aca="false">H22*H24*H25+(1-G25)*G22*G24</f>
        <v>248.145161290323</v>
      </c>
      <c r="I26" s="16" t="n">
        <f aca="false">I22*I24*I25+(1-H25)*H22*H24</f>
        <v>212.5</v>
      </c>
      <c r="O26" s="16" t="n">
        <f aca="false">SUM(B26:I26)</f>
        <v>1487.5</v>
      </c>
    </row>
    <row r="27" customFormat="false" ht="15" hidden="false" customHeight="false" outlineLevel="0" collapsed="false">
      <c r="A27" s="21" t="s">
        <v>68</v>
      </c>
      <c r="B27" s="22" t="n">
        <f aca="false">B22*B24</f>
        <v>212.5</v>
      </c>
      <c r="C27" s="22" t="n">
        <f aca="false">C22*C24</f>
        <v>255</v>
      </c>
      <c r="D27" s="22" t="n">
        <f aca="false">D22*D24</f>
        <v>0</v>
      </c>
      <c r="E27" s="22" t="n">
        <f aca="false">E22*E24</f>
        <v>255</v>
      </c>
      <c r="F27" s="22" t="n">
        <f aca="false">F22*F24</f>
        <v>255</v>
      </c>
      <c r="G27" s="22" t="n">
        <f aca="false">G22*G24</f>
        <v>255</v>
      </c>
      <c r="H27" s="22" t="n">
        <f aca="false">H22*H24</f>
        <v>255</v>
      </c>
      <c r="I27" s="22" t="n">
        <f aca="false">I22*I24</f>
        <v>0</v>
      </c>
      <c r="J27" s="23"/>
      <c r="K27" s="23"/>
      <c r="L27" s="23"/>
      <c r="M27" s="23"/>
      <c r="N27" s="23"/>
      <c r="O27" s="24" t="n">
        <f aca="false">SUM(B27:I27)</f>
        <v>1487.5</v>
      </c>
      <c r="P27" s="24" t="n">
        <f aca="false">O27-O26</f>
        <v>0</v>
      </c>
    </row>
    <row r="30" customFormat="false" ht="15" hidden="false" customHeight="false" outlineLevel="0" collapsed="false">
      <c r="A30" s="8" t="s">
        <v>78</v>
      </c>
      <c r="B30" s="9" t="s">
        <v>79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5" hidden="false" customHeight="false" outlineLevel="0" collapsed="false">
      <c r="A31" s="6" t="s">
        <v>47</v>
      </c>
      <c r="B31" s="11" t="s">
        <v>80</v>
      </c>
      <c r="C31" s="11" t="s">
        <v>81</v>
      </c>
      <c r="D31" s="11" t="s">
        <v>48</v>
      </c>
      <c r="E31" s="11" t="s">
        <v>49</v>
      </c>
      <c r="F31" s="11" t="s">
        <v>50</v>
      </c>
      <c r="G31" s="11" t="s">
        <v>51</v>
      </c>
      <c r="H31" s="11" t="s">
        <v>52</v>
      </c>
      <c r="I31" s="11" t="s">
        <v>53</v>
      </c>
      <c r="J31" s="11" t="s">
        <v>54</v>
      </c>
      <c r="K31" s="11" t="s">
        <v>55</v>
      </c>
      <c r="L31" s="11" t="s">
        <v>82</v>
      </c>
      <c r="O31" s="4" t="s">
        <v>56</v>
      </c>
      <c r="P31" s="4" t="s">
        <v>57</v>
      </c>
    </row>
    <row r="32" customFormat="false" ht="15" hidden="false" customHeight="false" outlineLevel="0" collapsed="false">
      <c r="A32" s="6" t="s">
        <v>58</v>
      </c>
      <c r="B32" s="12" t="n">
        <v>3724</v>
      </c>
      <c r="C32" s="12" t="n">
        <v>3779</v>
      </c>
      <c r="D32" s="12" t="n">
        <v>3833</v>
      </c>
      <c r="E32" s="13" t="s">
        <v>59</v>
      </c>
      <c r="F32" s="12" t="n">
        <v>3902</v>
      </c>
      <c r="G32" s="13" t="s">
        <v>59</v>
      </c>
      <c r="H32" s="13" t="s">
        <v>59</v>
      </c>
      <c r="I32" s="12" t="n">
        <v>4100</v>
      </c>
      <c r="J32" s="12" t="n">
        <v>4167</v>
      </c>
      <c r="K32" s="12" t="n">
        <v>4230</v>
      </c>
      <c r="L32" s="13" t="s">
        <v>59</v>
      </c>
    </row>
    <row r="33" customFormat="false" ht="15" hidden="false" customHeight="false" outlineLevel="0" collapsed="false">
      <c r="A33" s="6" t="s">
        <v>60</v>
      </c>
      <c r="B33" s="25" t="n">
        <v>425</v>
      </c>
      <c r="C33" s="25" t="n">
        <v>425</v>
      </c>
      <c r="D33" s="25" t="n">
        <v>425</v>
      </c>
      <c r="E33" s="14" t="n">
        <v>0</v>
      </c>
      <c r="F33" s="25" t="n">
        <v>425</v>
      </c>
      <c r="G33" s="14" t="n">
        <v>0</v>
      </c>
      <c r="H33" s="14" t="n">
        <v>0</v>
      </c>
      <c r="I33" s="14" t="n">
        <v>425</v>
      </c>
      <c r="J33" s="14" t="n">
        <v>425</v>
      </c>
      <c r="K33" s="14" t="n">
        <v>425</v>
      </c>
      <c r="L33" s="14" t="n">
        <v>0</v>
      </c>
    </row>
    <row r="34" customFormat="false" ht="15" hidden="false" customHeight="false" outlineLevel="0" collapsed="false">
      <c r="A34" s="6" t="s">
        <v>61</v>
      </c>
      <c r="B34" s="15" t="n">
        <v>0</v>
      </c>
      <c r="C34" s="15" t="n">
        <v>0</v>
      </c>
      <c r="D34" s="15" t="n">
        <v>0</v>
      </c>
      <c r="E34" s="15" t="n">
        <v>0</v>
      </c>
      <c r="F34" s="26" t="n">
        <f aca="false">SUMIF(Adjustments!$C$5:$C$14,F32,Adjustments!$H$5:$H$14)</f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</row>
    <row r="35" customFormat="false" ht="15" hidden="false" customHeight="false" outlineLevel="0" collapsed="false">
      <c r="A35" s="4" t="s">
        <v>62</v>
      </c>
      <c r="B35" s="16" t="n">
        <f aca="false">B33+B34</f>
        <v>425</v>
      </c>
      <c r="C35" s="16" t="n">
        <f aca="false">C33+C34</f>
        <v>425</v>
      </c>
      <c r="D35" s="16" t="n">
        <f aca="false">D33+D34</f>
        <v>425</v>
      </c>
      <c r="E35" s="16" t="n">
        <f aca="false">E33+E34</f>
        <v>0</v>
      </c>
      <c r="F35" s="16" t="n">
        <f aca="false">F33+F34</f>
        <v>425</v>
      </c>
      <c r="G35" s="16" t="n">
        <f aca="false">G33+G34</f>
        <v>0</v>
      </c>
      <c r="H35" s="16" t="n">
        <f aca="false">H33+H34</f>
        <v>0</v>
      </c>
      <c r="I35" s="16" t="n">
        <f aca="false">I33+I34</f>
        <v>425</v>
      </c>
      <c r="J35" s="16" t="n">
        <f aca="false">J33+J34</f>
        <v>425</v>
      </c>
      <c r="K35" s="16" t="n">
        <f aca="false">K33+K34</f>
        <v>425</v>
      </c>
      <c r="L35" s="16" t="n">
        <f aca="false">L33+L34</f>
        <v>0</v>
      </c>
    </row>
    <row r="36" customFormat="false" ht="15" hidden="false" customHeight="false" outlineLevel="0" collapsed="false">
      <c r="A36" s="6" t="s">
        <v>63</v>
      </c>
      <c r="B36" s="17" t="n">
        <v>45956</v>
      </c>
      <c r="C36" s="17" t="n">
        <v>45987</v>
      </c>
      <c r="D36" s="17" t="n">
        <v>46017</v>
      </c>
      <c r="E36" s="18" t="s">
        <v>64</v>
      </c>
      <c r="F36" s="17" t="n">
        <v>46055</v>
      </c>
      <c r="G36" s="18" t="s">
        <v>64</v>
      </c>
      <c r="H36" s="18" t="s">
        <v>64</v>
      </c>
      <c r="I36" s="17" t="n">
        <v>46161</v>
      </c>
      <c r="J36" s="17" t="n">
        <v>46192</v>
      </c>
      <c r="K36" s="17" t="n">
        <v>46222</v>
      </c>
      <c r="L36" s="18" t="s">
        <v>64</v>
      </c>
    </row>
    <row r="37" customFormat="false" ht="15" hidden="false" customHeight="false" outlineLevel="0" collapsed="false">
      <c r="A37" s="6" t="s">
        <v>65</v>
      </c>
      <c r="B37" s="19" t="n">
        <v>0.6</v>
      </c>
      <c r="C37" s="19" t="n">
        <v>0.6</v>
      </c>
      <c r="D37" s="19" t="n">
        <v>0.6</v>
      </c>
      <c r="E37" s="19" t="n">
        <v>0.6</v>
      </c>
      <c r="F37" s="19" t="n">
        <v>0.6</v>
      </c>
      <c r="G37" s="19" t="n">
        <v>0.6</v>
      </c>
      <c r="H37" s="19" t="n">
        <v>0.6</v>
      </c>
      <c r="I37" s="19" t="n">
        <v>0.6</v>
      </c>
      <c r="J37" s="19" t="n">
        <v>0.6</v>
      </c>
      <c r="K37" s="19" t="n">
        <v>0.6</v>
      </c>
      <c r="L37" s="19" t="n">
        <v>0.6</v>
      </c>
    </row>
    <row r="38" customFormat="false" ht="15" hidden="false" customHeight="false" outlineLevel="0" collapsed="false">
      <c r="A38" s="6" t="s">
        <v>66</v>
      </c>
      <c r="B38" s="20" t="n">
        <f aca="false">1-DAY(B36)/DAY(EOMONTH(B36,0))</f>
        <v>0.161290322580645</v>
      </c>
      <c r="C38" s="20" t="n">
        <f aca="false">1-DAY(C36)/DAY(EOMONTH(C36,0))</f>
        <v>0.133333333333333</v>
      </c>
      <c r="D38" s="20" t="n">
        <f aca="false">1-DAY(D36)/DAY(EOMONTH(D36,0))</f>
        <v>0.161290322580645</v>
      </c>
      <c r="E38" s="20" t="n">
        <v>0</v>
      </c>
      <c r="F38" s="20" t="n">
        <f aca="false">1-DAY(F36)/DAY(EOMONTH(F36,0))</f>
        <v>0.928571428571429</v>
      </c>
      <c r="G38" s="20" t="n">
        <v>0</v>
      </c>
      <c r="H38" s="20" t="n">
        <v>0</v>
      </c>
      <c r="I38" s="20" t="n">
        <f aca="false">1-DAY(I36)/DAY(EOMONTH(I36,0))</f>
        <v>0.387096774193548</v>
      </c>
      <c r="J38" s="20" t="n">
        <f aca="false">1-DAY(J36)/DAY(EOMONTH(J36,0))</f>
        <v>0.366666666666667</v>
      </c>
      <c r="K38" s="20" t="n">
        <f aca="false">1-DAY(K36)/DAY(EOMONTH(K36,0))</f>
        <v>0.387096774193548</v>
      </c>
      <c r="L38" s="20" t="n">
        <v>0</v>
      </c>
    </row>
    <row r="39" customFormat="false" ht="15" hidden="false" customHeight="false" outlineLevel="0" collapsed="false">
      <c r="A39" s="4" t="s">
        <v>67</v>
      </c>
      <c r="B39" s="16" t="n">
        <f aca="false">B35*B37*B38</f>
        <v>41.1290322580645</v>
      </c>
      <c r="C39" s="16" t="n">
        <f aca="false">C35*C37*C38+(1-B38)*B35*B37</f>
        <v>247.870967741935</v>
      </c>
      <c r="D39" s="16" t="n">
        <f aca="false">D35*D37*D38+(1-C38)*C35*C37</f>
        <v>262.129032258065</v>
      </c>
      <c r="E39" s="16" t="n">
        <f aca="false">E35*E37*E38+(1-D38)*D35*D37</f>
        <v>213.870967741935</v>
      </c>
      <c r="F39" s="16" t="n">
        <f aca="false">F35*F37*F38+(1-E38)*E35*E37</f>
        <v>236.785714285714</v>
      </c>
      <c r="G39" s="16" t="n">
        <f aca="false">G35*G37*G38+(1-F38)*F35*F37</f>
        <v>18.2142857142857</v>
      </c>
      <c r="H39" s="16" t="n">
        <f aca="false">H35*H37*H38+(1-G38)*G35*G37</f>
        <v>0</v>
      </c>
      <c r="I39" s="16" t="n">
        <f aca="false">I35*I37*I38+(1-H38)*H35*H37</f>
        <v>98.7096774193548</v>
      </c>
      <c r="J39" s="16" t="n">
        <f aca="false">J35*J37*J38+(1-I38)*I35*I37</f>
        <v>249.790322580645</v>
      </c>
      <c r="K39" s="16" t="n">
        <f aca="false">K35*K37*K38+(1-J38)*J35*J37</f>
        <v>260.209677419355</v>
      </c>
      <c r="L39" s="16" t="n">
        <f aca="false">L35*L37*L38+(1-K38)*K35*K37</f>
        <v>156.290322580645</v>
      </c>
      <c r="O39" s="16" t="n">
        <f aca="false">SUM(B39:L39)</f>
        <v>1785</v>
      </c>
    </row>
    <row r="40" customFormat="false" ht="15" hidden="false" customHeight="false" outlineLevel="0" collapsed="false">
      <c r="A40" s="21" t="s">
        <v>68</v>
      </c>
      <c r="B40" s="22" t="n">
        <f aca="false">B35*B37</f>
        <v>255</v>
      </c>
      <c r="C40" s="22" t="n">
        <f aca="false">C35*C37</f>
        <v>255</v>
      </c>
      <c r="D40" s="22" t="n">
        <f aca="false">D35*D37</f>
        <v>255</v>
      </c>
      <c r="E40" s="22" t="n">
        <f aca="false">E35*E37</f>
        <v>0</v>
      </c>
      <c r="F40" s="22" t="n">
        <f aca="false">F35*F37</f>
        <v>255</v>
      </c>
      <c r="G40" s="22" t="n">
        <f aca="false">G35*G37</f>
        <v>0</v>
      </c>
      <c r="H40" s="22" t="n">
        <f aca="false">H35*H37</f>
        <v>0</v>
      </c>
      <c r="I40" s="22" t="n">
        <f aca="false">I35*I37</f>
        <v>255</v>
      </c>
      <c r="J40" s="22" t="n">
        <f aca="false">J35*J37</f>
        <v>255</v>
      </c>
      <c r="K40" s="22" t="n">
        <f aca="false">K35*K37</f>
        <v>255</v>
      </c>
      <c r="L40" s="22" t="n">
        <f aca="false">L35*L37</f>
        <v>0</v>
      </c>
      <c r="M40" s="23"/>
      <c r="N40" s="23"/>
      <c r="O40" s="24" t="n">
        <f aca="false">SUM(B40:L40)</f>
        <v>1785</v>
      </c>
      <c r="P40" s="24" t="n">
        <f aca="false">O40-O39</f>
        <v>0</v>
      </c>
    </row>
    <row r="43" customFormat="false" ht="15" hidden="false" customHeight="false" outlineLevel="0" collapsed="false">
      <c r="A43" s="8" t="s">
        <v>83</v>
      </c>
      <c r="B43" s="9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customFormat="false" ht="15" hidden="false" customHeight="false" outlineLevel="0" collapsed="false">
      <c r="A44" s="6" t="s">
        <v>47</v>
      </c>
      <c r="B44" s="11" t="s">
        <v>55</v>
      </c>
      <c r="C44" s="11" t="s">
        <v>82</v>
      </c>
      <c r="O44" s="4" t="s">
        <v>56</v>
      </c>
      <c r="P44" s="4" t="s">
        <v>57</v>
      </c>
    </row>
    <row r="45" customFormat="false" ht="15" hidden="false" customHeight="false" outlineLevel="0" collapsed="false">
      <c r="A45" s="6" t="s">
        <v>58</v>
      </c>
      <c r="B45" s="12" t="n">
        <v>4193</v>
      </c>
      <c r="C45" s="13" t="s">
        <v>59</v>
      </c>
    </row>
    <row r="46" customFormat="false" ht="15" hidden="false" customHeight="false" outlineLevel="0" collapsed="false">
      <c r="A46" s="6" t="s">
        <v>60</v>
      </c>
      <c r="B46" s="14" t="n">
        <v>425</v>
      </c>
      <c r="C46" s="14" t="n">
        <v>0</v>
      </c>
    </row>
    <row r="47" customFormat="false" ht="15" hidden="false" customHeight="false" outlineLevel="0" collapsed="false">
      <c r="A47" s="6" t="s">
        <v>61</v>
      </c>
      <c r="B47" s="15" t="n">
        <v>0</v>
      </c>
      <c r="C47" s="15" t="n">
        <v>0</v>
      </c>
    </row>
    <row r="48" customFormat="false" ht="15" hidden="false" customHeight="false" outlineLevel="0" collapsed="false">
      <c r="A48" s="4" t="s">
        <v>62</v>
      </c>
      <c r="B48" s="16" t="n">
        <f aca="false">B46+B47</f>
        <v>425</v>
      </c>
      <c r="C48" s="16" t="n">
        <f aca="false">C46+C47</f>
        <v>0</v>
      </c>
    </row>
    <row r="49" customFormat="false" ht="15" hidden="false" customHeight="false" outlineLevel="0" collapsed="false">
      <c r="A49" s="6" t="s">
        <v>63</v>
      </c>
      <c r="B49" s="17" t="n">
        <v>46205</v>
      </c>
      <c r="C49" s="18" t="s">
        <v>64</v>
      </c>
    </row>
    <row r="50" customFormat="false" ht="15" hidden="false" customHeight="false" outlineLevel="0" collapsed="false">
      <c r="A50" s="6" t="s">
        <v>65</v>
      </c>
      <c r="B50" s="19" t="n">
        <v>0.6</v>
      </c>
      <c r="C50" s="19" t="n">
        <v>0.6</v>
      </c>
    </row>
    <row r="51" customFormat="false" ht="15" hidden="false" customHeight="false" outlineLevel="0" collapsed="false">
      <c r="A51" s="6" t="s">
        <v>66</v>
      </c>
      <c r="B51" s="20" t="n">
        <f aca="false">1-DAY(B49)/DAY(EOMONTH(B49,0))</f>
        <v>0.935483870967742</v>
      </c>
      <c r="C51" s="20" t="n">
        <v>0</v>
      </c>
    </row>
    <row r="52" customFormat="false" ht="15" hidden="false" customHeight="false" outlineLevel="0" collapsed="false">
      <c r="A52" s="4" t="s">
        <v>67</v>
      </c>
      <c r="B52" s="16" t="n">
        <f aca="false">B48*B50*B51</f>
        <v>238.548387096774</v>
      </c>
      <c r="C52" s="16" t="n">
        <f aca="false">C48*C50*C51+(1-B51)*B48*B50</f>
        <v>16.4516129032258</v>
      </c>
      <c r="O52" s="16" t="n">
        <f aca="false">SUM(B52:C52)</f>
        <v>255</v>
      </c>
    </row>
    <row r="53" customFormat="false" ht="15" hidden="false" customHeight="false" outlineLevel="0" collapsed="false">
      <c r="A53" s="21" t="s">
        <v>68</v>
      </c>
      <c r="B53" s="22" t="n">
        <f aca="false">B48*B50</f>
        <v>255</v>
      </c>
      <c r="C53" s="22" t="n">
        <f aca="false">C48*C50</f>
        <v>0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4" t="n">
        <f aca="false">SUM(B53:C53)</f>
        <v>255</v>
      </c>
      <c r="P53" s="24" t="n">
        <f aca="false">O53-O52</f>
        <v>0</v>
      </c>
    </row>
    <row r="56" customFormat="false" ht="15" hidden="false" customHeight="false" outlineLevel="0" collapsed="false">
      <c r="A56" s="8" t="s">
        <v>85</v>
      </c>
      <c r="B56" s="9" t="s">
        <v>86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customFormat="false" ht="15" hidden="false" customHeight="false" outlineLevel="0" collapsed="false">
      <c r="A57" s="6" t="s">
        <v>47</v>
      </c>
      <c r="B57" s="11" t="s">
        <v>87</v>
      </c>
      <c r="C57" s="11" t="s">
        <v>80</v>
      </c>
      <c r="D57" s="11" t="s">
        <v>81</v>
      </c>
      <c r="E57" s="11" t="s">
        <v>48</v>
      </c>
      <c r="F57" s="11" t="s">
        <v>49</v>
      </c>
      <c r="G57" s="11" t="s">
        <v>50</v>
      </c>
      <c r="H57" s="11" t="s">
        <v>51</v>
      </c>
      <c r="I57" s="11" t="s">
        <v>52</v>
      </c>
      <c r="J57" s="11" t="s">
        <v>53</v>
      </c>
      <c r="K57" s="11" t="s">
        <v>54</v>
      </c>
      <c r="L57" s="11" t="s">
        <v>55</v>
      </c>
      <c r="O57" s="4" t="s">
        <v>56</v>
      </c>
      <c r="P57" s="4" t="s">
        <v>57</v>
      </c>
    </row>
    <row r="58" customFormat="false" ht="15" hidden="false" customHeight="false" outlineLevel="0" collapsed="false">
      <c r="A58" s="6" t="s">
        <v>58</v>
      </c>
      <c r="B58" s="12" t="n">
        <v>3663</v>
      </c>
      <c r="C58" s="12" t="n">
        <v>3716</v>
      </c>
      <c r="D58" s="12" t="n">
        <v>3769</v>
      </c>
      <c r="E58" s="12" t="n">
        <v>3825</v>
      </c>
      <c r="F58" s="12" t="n">
        <v>3880</v>
      </c>
      <c r="G58" s="12" t="n">
        <v>3933</v>
      </c>
      <c r="H58" s="12" t="n">
        <v>3980</v>
      </c>
      <c r="I58" s="12" t="n">
        <v>4038</v>
      </c>
      <c r="J58" s="12" t="n">
        <v>4099</v>
      </c>
      <c r="K58" s="12" t="n">
        <v>4166</v>
      </c>
      <c r="L58" s="13" t="s">
        <v>59</v>
      </c>
    </row>
    <row r="59" customFormat="false" ht="15" hidden="false" customHeight="false" outlineLevel="0" collapsed="false">
      <c r="A59" s="6" t="s">
        <v>60</v>
      </c>
      <c r="B59" s="14" t="n">
        <v>425</v>
      </c>
      <c r="C59" s="14" t="n">
        <v>425</v>
      </c>
      <c r="D59" s="14" t="n">
        <v>425</v>
      </c>
      <c r="E59" s="14" t="n">
        <v>425</v>
      </c>
      <c r="F59" s="14" t="n">
        <v>425</v>
      </c>
      <c r="G59" s="14" t="n">
        <v>425</v>
      </c>
      <c r="H59" s="14" t="n">
        <v>425</v>
      </c>
      <c r="I59" s="14" t="n">
        <v>425</v>
      </c>
      <c r="J59" s="14" t="n">
        <v>425</v>
      </c>
      <c r="K59" s="14" t="n">
        <v>425</v>
      </c>
      <c r="L59" s="14" t="n">
        <v>0</v>
      </c>
    </row>
    <row r="60" customFormat="false" ht="15" hidden="false" customHeight="false" outlineLevel="0" collapsed="false">
      <c r="A60" s="6" t="s">
        <v>61</v>
      </c>
      <c r="B60" s="15" t="n">
        <v>0</v>
      </c>
      <c r="C60" s="15" t="n">
        <v>0</v>
      </c>
      <c r="D60" s="15" t="n">
        <v>0</v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</row>
    <row r="61" customFormat="false" ht="15" hidden="false" customHeight="false" outlineLevel="0" collapsed="false">
      <c r="A61" s="4" t="s">
        <v>62</v>
      </c>
      <c r="B61" s="16" t="n">
        <f aca="false">B59+B60</f>
        <v>425</v>
      </c>
      <c r="C61" s="16" t="n">
        <f aca="false">C59+C60</f>
        <v>425</v>
      </c>
      <c r="D61" s="16" t="n">
        <f aca="false">D59+D60</f>
        <v>425</v>
      </c>
      <c r="E61" s="16" t="n">
        <f aca="false">E59+E60</f>
        <v>425</v>
      </c>
      <c r="F61" s="16" t="n">
        <f aca="false">F59+F60</f>
        <v>425</v>
      </c>
      <c r="G61" s="16" t="n">
        <f aca="false">G59+G60</f>
        <v>425</v>
      </c>
      <c r="H61" s="16" t="n">
        <f aca="false">H59+H60</f>
        <v>425</v>
      </c>
      <c r="I61" s="16" t="n">
        <f aca="false">I59+I60</f>
        <v>425</v>
      </c>
      <c r="J61" s="16" t="n">
        <f aca="false">J59+J60</f>
        <v>425</v>
      </c>
      <c r="K61" s="16" t="n">
        <f aca="false">K59+K60</f>
        <v>425</v>
      </c>
      <c r="L61" s="16" t="n">
        <f aca="false">L59+L60</f>
        <v>0</v>
      </c>
    </row>
    <row r="62" customFormat="false" ht="15" hidden="false" customHeight="false" outlineLevel="0" collapsed="false">
      <c r="A62" s="6" t="s">
        <v>63</v>
      </c>
      <c r="B62" s="17" t="n">
        <v>45919</v>
      </c>
      <c r="C62" s="17" t="n">
        <v>45949</v>
      </c>
      <c r="D62" s="17" t="n">
        <v>45980</v>
      </c>
      <c r="E62" s="17" t="n">
        <v>46010</v>
      </c>
      <c r="F62" s="17" t="n">
        <v>46041</v>
      </c>
      <c r="G62" s="17" t="n">
        <v>46072</v>
      </c>
      <c r="H62" s="17" t="n">
        <v>46100</v>
      </c>
      <c r="I62" s="17" t="n">
        <v>46131</v>
      </c>
      <c r="J62" s="17" t="n">
        <v>46161</v>
      </c>
      <c r="K62" s="17" t="n">
        <v>46192</v>
      </c>
      <c r="L62" s="18" t="s">
        <v>64</v>
      </c>
    </row>
    <row r="63" customFormat="false" ht="15" hidden="false" customHeight="false" outlineLevel="0" collapsed="false">
      <c r="A63" s="6" t="s">
        <v>65</v>
      </c>
      <c r="B63" s="19" t="n">
        <v>0.6</v>
      </c>
      <c r="C63" s="19" t="n">
        <v>0.6</v>
      </c>
      <c r="D63" s="19" t="n">
        <v>0.6</v>
      </c>
      <c r="E63" s="19" t="n">
        <v>0.6</v>
      </c>
      <c r="F63" s="19" t="n">
        <v>0.6</v>
      </c>
      <c r="G63" s="19" t="n">
        <v>0.6</v>
      </c>
      <c r="H63" s="19" t="n">
        <v>0.6</v>
      </c>
      <c r="I63" s="19" t="n">
        <v>0.6</v>
      </c>
      <c r="J63" s="19" t="n">
        <v>0.6</v>
      </c>
      <c r="K63" s="19" t="n">
        <v>0.6</v>
      </c>
      <c r="L63" s="19" t="n">
        <v>0.6</v>
      </c>
    </row>
    <row r="64" customFormat="false" ht="15" hidden="false" customHeight="false" outlineLevel="0" collapsed="false">
      <c r="A64" s="6" t="s">
        <v>66</v>
      </c>
      <c r="B64" s="20" t="n">
        <f aca="false">1-DAY(B62)/DAY(EOMONTH(B62,0))</f>
        <v>0.366666666666667</v>
      </c>
      <c r="C64" s="20" t="n">
        <f aca="false">1-DAY(C62)/DAY(EOMONTH(C62,0))</f>
        <v>0.387096774193548</v>
      </c>
      <c r="D64" s="20" t="n">
        <f aca="false">1-DAY(D62)/DAY(EOMONTH(D62,0))</f>
        <v>0.366666666666667</v>
      </c>
      <c r="E64" s="20" t="n">
        <f aca="false">1-DAY(E62)/DAY(EOMONTH(E62,0))</f>
        <v>0.387096774193548</v>
      </c>
      <c r="F64" s="20" t="n">
        <f aca="false">1-DAY(F62)/DAY(EOMONTH(F62,0))</f>
        <v>0.387096774193548</v>
      </c>
      <c r="G64" s="20" t="n">
        <f aca="false">1-DAY(G62)/DAY(EOMONTH(G62,0))</f>
        <v>0.321428571428571</v>
      </c>
      <c r="H64" s="20" t="n">
        <f aca="false">1-DAY(H62)/DAY(EOMONTH(H62,0))</f>
        <v>0.387096774193548</v>
      </c>
      <c r="I64" s="20" t="n">
        <f aca="false">1-DAY(I62)/DAY(EOMONTH(I62,0))</f>
        <v>0.366666666666667</v>
      </c>
      <c r="J64" s="20" t="n">
        <f aca="false">1-DAY(J62)/DAY(EOMONTH(J62,0))</f>
        <v>0.387096774193548</v>
      </c>
      <c r="K64" s="20" t="n">
        <f aca="false">1-DAY(K62)/DAY(EOMONTH(K62,0))</f>
        <v>0.366666666666667</v>
      </c>
      <c r="L64" s="20" t="n">
        <v>0</v>
      </c>
    </row>
    <row r="65" customFormat="false" ht="15" hidden="false" customHeight="false" outlineLevel="0" collapsed="false">
      <c r="A65" s="4" t="s">
        <v>67</v>
      </c>
      <c r="B65" s="16" t="n">
        <f aca="false">B61*B63*B64</f>
        <v>93.5</v>
      </c>
      <c r="C65" s="16" t="n">
        <f aca="false">C61*C63*C64+(1-B64)*B61*B63</f>
        <v>260.209677419355</v>
      </c>
      <c r="D65" s="16" t="n">
        <f aca="false">D61*D63*D64+(1-C64)*C61*C63</f>
        <v>249.790322580645</v>
      </c>
      <c r="E65" s="16" t="n">
        <f aca="false">E61*E63*E64+(1-D64)*D61*D63</f>
        <v>260.209677419355</v>
      </c>
      <c r="F65" s="16" t="n">
        <f aca="false">F61*F63*F64+(1-E64)*E61*E63</f>
        <v>255</v>
      </c>
      <c r="G65" s="16" t="n">
        <f aca="false">G61*G63*G64+(1-F64)*F61*F63</f>
        <v>238.254608294931</v>
      </c>
      <c r="H65" s="16" t="n">
        <f aca="false">H61*H63*H64+(1-G64)*G61*G63</f>
        <v>271.745391705069</v>
      </c>
      <c r="I65" s="16" t="n">
        <f aca="false">I61*I63*I64+(1-H64)*H61*H63</f>
        <v>249.790322580645</v>
      </c>
      <c r="J65" s="16" t="n">
        <f aca="false">J61*J63*J64+(1-I64)*I61*I63</f>
        <v>260.209677419355</v>
      </c>
      <c r="K65" s="16" t="n">
        <f aca="false">K61*K63*K64+(1-J64)*J61*J63</f>
        <v>249.790322580645</v>
      </c>
      <c r="L65" s="16" t="n">
        <f aca="false">L61*L63*L64+(1-K64)*K61*K63</f>
        <v>161.5</v>
      </c>
      <c r="O65" s="16" t="n">
        <f aca="false">SUM(B65:L65)</f>
        <v>2550</v>
      </c>
    </row>
    <row r="66" customFormat="false" ht="15" hidden="false" customHeight="false" outlineLevel="0" collapsed="false">
      <c r="A66" s="21" t="s">
        <v>68</v>
      </c>
      <c r="B66" s="22" t="n">
        <f aca="false">B61*B63</f>
        <v>255</v>
      </c>
      <c r="C66" s="22" t="n">
        <f aca="false">C61*C63</f>
        <v>255</v>
      </c>
      <c r="D66" s="22" t="n">
        <f aca="false">D61*D63</f>
        <v>255</v>
      </c>
      <c r="E66" s="22" t="n">
        <f aca="false">E61*E63</f>
        <v>255</v>
      </c>
      <c r="F66" s="22" t="n">
        <f aca="false">F61*F63</f>
        <v>255</v>
      </c>
      <c r="G66" s="22" t="n">
        <f aca="false">G61*G63</f>
        <v>255</v>
      </c>
      <c r="H66" s="22" t="n">
        <f aca="false">H61*H63</f>
        <v>255</v>
      </c>
      <c r="I66" s="22" t="n">
        <f aca="false">I61*I63</f>
        <v>255</v>
      </c>
      <c r="J66" s="22" t="n">
        <f aca="false">J61*J63</f>
        <v>255</v>
      </c>
      <c r="K66" s="22" t="n">
        <f aca="false">K61*K63</f>
        <v>255</v>
      </c>
      <c r="L66" s="22" t="n">
        <f aca="false">L61*L63</f>
        <v>0</v>
      </c>
      <c r="M66" s="23"/>
      <c r="N66" s="23"/>
      <c r="O66" s="24" t="n">
        <f aca="false">SUM(B66:L66)</f>
        <v>2550</v>
      </c>
      <c r="P66" s="24" t="n">
        <f aca="false">O66-O65</f>
        <v>0</v>
      </c>
    </row>
    <row r="69" customFormat="false" ht="15" hidden="false" customHeight="false" outlineLevel="0" collapsed="false">
      <c r="A69" s="8" t="s">
        <v>88</v>
      </c>
      <c r="B69" s="9" t="s">
        <v>89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customFormat="false" ht="15" hidden="false" customHeight="false" outlineLevel="0" collapsed="false">
      <c r="A70" s="6" t="s">
        <v>47</v>
      </c>
      <c r="B70" s="11" t="s">
        <v>53</v>
      </c>
      <c r="C70" s="11" t="s">
        <v>54</v>
      </c>
      <c r="D70" s="11" t="s">
        <v>55</v>
      </c>
      <c r="E70" s="11" t="s">
        <v>82</v>
      </c>
      <c r="O70" s="4" t="s">
        <v>56</v>
      </c>
      <c r="P70" s="4" t="s">
        <v>57</v>
      </c>
    </row>
    <row r="71" customFormat="false" ht="15" hidden="false" customHeight="false" outlineLevel="0" collapsed="false">
      <c r="A71" s="6" t="s">
        <v>58</v>
      </c>
      <c r="B71" s="12" t="n">
        <v>4105</v>
      </c>
      <c r="C71" s="12" t="n">
        <v>4152</v>
      </c>
      <c r="D71" s="12" t="n">
        <v>4215</v>
      </c>
      <c r="E71" s="13" t="s">
        <v>59</v>
      </c>
    </row>
    <row r="72" customFormat="false" ht="15" hidden="false" customHeight="false" outlineLevel="0" collapsed="false">
      <c r="A72" s="6" t="s">
        <v>60</v>
      </c>
      <c r="B72" s="14" t="n">
        <v>425</v>
      </c>
      <c r="C72" s="14" t="n">
        <v>425</v>
      </c>
      <c r="D72" s="14" t="n">
        <v>425</v>
      </c>
      <c r="E72" s="14" t="n">
        <v>0</v>
      </c>
    </row>
    <row r="73" customFormat="false" ht="15" hidden="false" customHeight="false" outlineLevel="0" collapsed="false">
      <c r="A73" s="6" t="s">
        <v>61</v>
      </c>
      <c r="B73" s="15" t="n">
        <v>0</v>
      </c>
      <c r="C73" s="15" t="n">
        <v>0</v>
      </c>
      <c r="D73" s="15" t="n">
        <v>0</v>
      </c>
      <c r="E73" s="15" t="n">
        <v>0</v>
      </c>
    </row>
    <row r="74" customFormat="false" ht="15" hidden="false" customHeight="false" outlineLevel="0" collapsed="false">
      <c r="A74" s="4" t="s">
        <v>62</v>
      </c>
      <c r="B74" s="16" t="n">
        <f aca="false">B72+B73</f>
        <v>425</v>
      </c>
      <c r="C74" s="16" t="n">
        <f aca="false">C72+C73</f>
        <v>425</v>
      </c>
      <c r="D74" s="16" t="n">
        <f aca="false">D72+D73</f>
        <v>425</v>
      </c>
      <c r="E74" s="16" t="n">
        <f aca="false">E72+E73</f>
        <v>0</v>
      </c>
    </row>
    <row r="75" customFormat="false" ht="15" hidden="false" customHeight="false" outlineLevel="0" collapsed="false">
      <c r="A75" s="6" t="s">
        <v>63</v>
      </c>
      <c r="B75" s="17" t="n">
        <v>46155</v>
      </c>
      <c r="C75" s="17" t="n">
        <v>46186</v>
      </c>
      <c r="D75" s="17" t="n">
        <v>46216</v>
      </c>
      <c r="E75" s="18" t="s">
        <v>64</v>
      </c>
    </row>
    <row r="76" customFormat="false" ht="15" hidden="false" customHeight="false" outlineLevel="0" collapsed="false">
      <c r="A76" s="6" t="s">
        <v>65</v>
      </c>
      <c r="B76" s="19" t="n">
        <v>0.6</v>
      </c>
      <c r="C76" s="19" t="n">
        <v>0.6</v>
      </c>
      <c r="D76" s="19" t="n">
        <v>0.6</v>
      </c>
      <c r="E76" s="19" t="n">
        <v>0.6</v>
      </c>
    </row>
    <row r="77" customFormat="false" ht="15" hidden="false" customHeight="false" outlineLevel="0" collapsed="false">
      <c r="A77" s="6" t="s">
        <v>66</v>
      </c>
      <c r="B77" s="20" t="n">
        <f aca="false">1-DAY(B75)/DAY(EOMONTH(B75,0))</f>
        <v>0.580645161290323</v>
      </c>
      <c r="C77" s="20" t="n">
        <f aca="false">1-DAY(C75)/DAY(EOMONTH(C75,0))</f>
        <v>0.566666666666667</v>
      </c>
      <c r="D77" s="20" t="n">
        <f aca="false">1-DAY(D75)/DAY(EOMONTH(D75,0))</f>
        <v>0.580645161290323</v>
      </c>
      <c r="E77" s="20" t="n">
        <v>0</v>
      </c>
    </row>
    <row r="78" customFormat="false" ht="15" hidden="false" customHeight="false" outlineLevel="0" collapsed="false">
      <c r="A78" s="4" t="s">
        <v>67</v>
      </c>
      <c r="B78" s="16" t="n">
        <f aca="false">B74*B76*B77</f>
        <v>148.064516129032</v>
      </c>
      <c r="C78" s="16" t="n">
        <f aca="false">C74*C76*C77+(1-B77)*B74*B76</f>
        <v>251.435483870968</v>
      </c>
      <c r="D78" s="16" t="n">
        <f aca="false">D74*D76*D77+(1-C77)*C74*C76</f>
        <v>258.564516129032</v>
      </c>
      <c r="E78" s="16" t="n">
        <f aca="false">E74*E76*E77+(1-D77)*D74*D76</f>
        <v>106.935483870968</v>
      </c>
      <c r="O78" s="16" t="n">
        <f aca="false">SUM(B78:E78)</f>
        <v>765</v>
      </c>
    </row>
    <row r="79" customFormat="false" ht="15" hidden="false" customHeight="false" outlineLevel="0" collapsed="false">
      <c r="A79" s="21" t="s">
        <v>68</v>
      </c>
      <c r="B79" s="22" t="n">
        <f aca="false">B74*B76</f>
        <v>255</v>
      </c>
      <c r="C79" s="22" t="n">
        <f aca="false">C74*C76</f>
        <v>255</v>
      </c>
      <c r="D79" s="22" t="n">
        <f aca="false">D74*D76</f>
        <v>255</v>
      </c>
      <c r="E79" s="22" t="n">
        <f aca="false">E74*E76</f>
        <v>0</v>
      </c>
      <c r="F79" s="23"/>
      <c r="G79" s="23"/>
      <c r="H79" s="23"/>
      <c r="I79" s="23"/>
      <c r="J79" s="23"/>
      <c r="K79" s="23"/>
      <c r="L79" s="23"/>
      <c r="M79" s="23"/>
      <c r="N79" s="23"/>
      <c r="O79" s="24" t="n">
        <f aca="false">SUM(B79:E79)</f>
        <v>765</v>
      </c>
      <c r="P79" s="24" t="n">
        <f aca="false">O79-O78</f>
        <v>0</v>
      </c>
    </row>
    <row r="82" customFormat="false" ht="15" hidden="false" customHeight="false" outlineLevel="0" collapsed="false">
      <c r="A82" s="8" t="s">
        <v>90</v>
      </c>
      <c r="B82" s="9" t="s">
        <v>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customFormat="false" ht="15" hidden="false" customHeight="false" outlineLevel="0" collapsed="false">
      <c r="A83" s="6" t="s">
        <v>47</v>
      </c>
      <c r="B83" s="11" t="s">
        <v>80</v>
      </c>
      <c r="C83" s="11" t="s">
        <v>81</v>
      </c>
      <c r="D83" s="11" t="s">
        <v>48</v>
      </c>
      <c r="E83" s="11" t="s">
        <v>49</v>
      </c>
      <c r="F83" s="11" t="s">
        <v>50</v>
      </c>
      <c r="O83" s="4" t="s">
        <v>56</v>
      </c>
      <c r="P83" s="4" t="s">
        <v>57</v>
      </c>
    </row>
    <row r="84" customFormat="false" ht="15" hidden="false" customHeight="false" outlineLevel="0" collapsed="false">
      <c r="A84" s="6" t="s">
        <v>58</v>
      </c>
      <c r="B84" s="12" t="n">
        <v>3714</v>
      </c>
      <c r="C84" s="12" t="n">
        <v>3767</v>
      </c>
      <c r="D84" s="12" t="n">
        <v>3820</v>
      </c>
      <c r="E84" s="12" t="n">
        <v>3878</v>
      </c>
      <c r="F84" s="13" t="s">
        <v>59</v>
      </c>
    </row>
    <row r="85" customFormat="false" ht="15" hidden="false" customHeight="false" outlineLevel="0" collapsed="false">
      <c r="A85" s="6" t="s">
        <v>60</v>
      </c>
      <c r="B85" s="14" t="n">
        <v>425</v>
      </c>
      <c r="C85" s="14" t="n">
        <v>425</v>
      </c>
      <c r="D85" s="14" t="n">
        <v>425</v>
      </c>
      <c r="E85" s="14" t="n">
        <v>425</v>
      </c>
      <c r="F85" s="14" t="n">
        <v>0</v>
      </c>
    </row>
    <row r="86" customFormat="false" ht="15" hidden="false" customHeight="false" outlineLevel="0" collapsed="false">
      <c r="A86" s="6" t="s">
        <v>61</v>
      </c>
      <c r="B86" s="15" t="n">
        <v>0</v>
      </c>
      <c r="C86" s="15" t="n">
        <v>0</v>
      </c>
      <c r="D86" s="15" t="n">
        <v>0</v>
      </c>
      <c r="E86" s="15" t="n">
        <v>0</v>
      </c>
      <c r="F86" s="15" t="n">
        <v>0</v>
      </c>
    </row>
    <row r="87" customFormat="false" ht="15" hidden="false" customHeight="false" outlineLevel="0" collapsed="false">
      <c r="A87" s="4" t="s">
        <v>62</v>
      </c>
      <c r="B87" s="16" t="n">
        <f aca="false">B85+B86</f>
        <v>425</v>
      </c>
      <c r="C87" s="16" t="n">
        <f aca="false">C85+C86</f>
        <v>425</v>
      </c>
      <c r="D87" s="16" t="n">
        <f aca="false">D85+D86</f>
        <v>425</v>
      </c>
      <c r="E87" s="16" t="n">
        <f aca="false">E85+E86</f>
        <v>425</v>
      </c>
      <c r="F87" s="16" t="n">
        <f aca="false">F85+F86</f>
        <v>0</v>
      </c>
    </row>
    <row r="88" customFormat="false" ht="15" hidden="false" customHeight="false" outlineLevel="0" collapsed="false">
      <c r="A88" s="6" t="s">
        <v>63</v>
      </c>
      <c r="B88" s="17" t="n">
        <v>45948</v>
      </c>
      <c r="C88" s="17" t="n">
        <v>45979</v>
      </c>
      <c r="D88" s="17" t="n">
        <v>46009</v>
      </c>
      <c r="E88" s="17" t="n">
        <v>46040</v>
      </c>
      <c r="F88" s="18" t="s">
        <v>64</v>
      </c>
    </row>
    <row r="89" customFormat="false" ht="15" hidden="false" customHeight="false" outlineLevel="0" collapsed="false">
      <c r="A89" s="6" t="s">
        <v>65</v>
      </c>
      <c r="B89" s="19" t="n">
        <v>0.6</v>
      </c>
      <c r="C89" s="19" t="n">
        <v>0.6</v>
      </c>
      <c r="D89" s="19" t="n">
        <v>0.6</v>
      </c>
      <c r="E89" s="19" t="n">
        <v>0.6</v>
      </c>
      <c r="F89" s="19" t="n">
        <v>0.6</v>
      </c>
    </row>
    <row r="90" customFormat="false" ht="15" hidden="false" customHeight="false" outlineLevel="0" collapsed="false">
      <c r="A90" s="6" t="s">
        <v>66</v>
      </c>
      <c r="B90" s="20" t="n">
        <f aca="false">1-DAY(B88)/DAY(EOMONTH(B88,0))</f>
        <v>0.419354838709677</v>
      </c>
      <c r="C90" s="20" t="n">
        <f aca="false">1-DAY(C88)/DAY(EOMONTH(C88,0))</f>
        <v>0.4</v>
      </c>
      <c r="D90" s="20" t="n">
        <f aca="false">1-DAY(D88)/DAY(EOMONTH(D88,0))</f>
        <v>0.419354838709677</v>
      </c>
      <c r="E90" s="20" t="n">
        <f aca="false">1-DAY(E88)/DAY(EOMONTH(E88,0))</f>
        <v>0.419354838709677</v>
      </c>
      <c r="F90" s="20" t="n">
        <v>0</v>
      </c>
    </row>
    <row r="91" customFormat="false" ht="15" hidden="false" customHeight="false" outlineLevel="0" collapsed="false">
      <c r="A91" s="4" t="s">
        <v>67</v>
      </c>
      <c r="B91" s="16" t="n">
        <f aca="false">B87*B89*B90</f>
        <v>106.935483870968</v>
      </c>
      <c r="C91" s="16" t="n">
        <f aca="false">C87*C89*C90+(1-B90)*B87*B89</f>
        <v>250.064516129032</v>
      </c>
      <c r="D91" s="16" t="n">
        <f aca="false">D87*D89*D90+(1-C90)*C87*C89</f>
        <v>259.935483870968</v>
      </c>
      <c r="E91" s="16" t="n">
        <f aca="false">E87*E89*E90+(1-D90)*D87*D89</f>
        <v>255</v>
      </c>
      <c r="F91" s="16" t="n">
        <f aca="false">F87*F89*F90+(1-E90)*E87*E89</f>
        <v>148.064516129032</v>
      </c>
      <c r="O91" s="16" t="n">
        <f aca="false">SUM(B91:F91)</f>
        <v>1020</v>
      </c>
    </row>
    <row r="92" customFormat="false" ht="15" hidden="false" customHeight="false" outlineLevel="0" collapsed="false">
      <c r="A92" s="21" t="s">
        <v>68</v>
      </c>
      <c r="B92" s="22" t="n">
        <f aca="false">B87*B89</f>
        <v>255</v>
      </c>
      <c r="C92" s="22" t="n">
        <f aca="false">C87*C89</f>
        <v>255</v>
      </c>
      <c r="D92" s="22" t="n">
        <f aca="false">D87*D89</f>
        <v>255</v>
      </c>
      <c r="E92" s="22" t="n">
        <f aca="false">E87*E89</f>
        <v>255</v>
      </c>
      <c r="F92" s="22" t="n">
        <f aca="false">F87*F89</f>
        <v>0</v>
      </c>
      <c r="G92" s="23"/>
      <c r="H92" s="23"/>
      <c r="I92" s="23"/>
      <c r="J92" s="23"/>
      <c r="K92" s="23"/>
      <c r="L92" s="23"/>
      <c r="M92" s="23"/>
      <c r="N92" s="23"/>
      <c r="O92" s="24" t="n">
        <f aca="false">SUM(B92:F92)</f>
        <v>1020</v>
      </c>
      <c r="P92" s="24" t="n">
        <f aca="false">O92-O91</f>
        <v>0</v>
      </c>
    </row>
    <row r="95" customFormat="false" ht="15" hidden="false" customHeight="false" outlineLevel="0" collapsed="false">
      <c r="A95" s="8" t="s">
        <v>92</v>
      </c>
      <c r="B95" s="9" t="s">
        <v>93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customFormat="false" ht="15" hidden="false" customHeight="false" outlineLevel="0" collapsed="false">
      <c r="A96" s="6" t="s">
        <v>47</v>
      </c>
      <c r="B96" s="11" t="s">
        <v>80</v>
      </c>
      <c r="C96" s="11" t="s">
        <v>81</v>
      </c>
      <c r="D96" s="11" t="s">
        <v>48</v>
      </c>
      <c r="E96" s="11" t="s">
        <v>49</v>
      </c>
      <c r="F96" s="11" t="s">
        <v>50</v>
      </c>
      <c r="G96" s="11" t="s">
        <v>51</v>
      </c>
      <c r="H96" s="11" t="s">
        <v>52</v>
      </c>
      <c r="I96" s="11" t="s">
        <v>53</v>
      </c>
      <c r="J96" s="11" t="s">
        <v>54</v>
      </c>
      <c r="O96" s="4" t="s">
        <v>56</v>
      </c>
      <c r="P96" s="4" t="s">
        <v>57</v>
      </c>
    </row>
    <row r="97" customFormat="false" ht="15" hidden="false" customHeight="false" outlineLevel="0" collapsed="false">
      <c r="A97" s="6" t="s">
        <v>58</v>
      </c>
      <c r="B97" s="12" t="n">
        <v>3706</v>
      </c>
      <c r="C97" s="12" t="n">
        <v>3758</v>
      </c>
      <c r="D97" s="12" t="n">
        <v>3812</v>
      </c>
      <c r="E97" s="12" t="n">
        <v>3869</v>
      </c>
      <c r="F97" s="12" t="n">
        <v>3921</v>
      </c>
      <c r="G97" s="12" t="n">
        <v>3968</v>
      </c>
      <c r="H97" s="12" t="n">
        <v>4022</v>
      </c>
      <c r="I97" s="12" t="n">
        <v>4085</v>
      </c>
      <c r="J97" s="13" t="s">
        <v>59</v>
      </c>
    </row>
    <row r="98" customFormat="false" ht="15" hidden="false" customHeight="false" outlineLevel="0" collapsed="false">
      <c r="A98" s="6" t="s">
        <v>60</v>
      </c>
      <c r="B98" s="14" t="n">
        <v>425</v>
      </c>
      <c r="C98" s="14" t="n">
        <v>425</v>
      </c>
      <c r="D98" s="14" t="n">
        <v>425</v>
      </c>
      <c r="E98" s="14" t="n">
        <v>425</v>
      </c>
      <c r="F98" s="14" t="n">
        <v>425</v>
      </c>
      <c r="G98" s="14" t="n">
        <v>425</v>
      </c>
      <c r="H98" s="14" t="n">
        <v>425</v>
      </c>
      <c r="I98" s="14" t="n">
        <v>265</v>
      </c>
      <c r="J98" s="14" t="n">
        <v>0</v>
      </c>
    </row>
    <row r="99" customFormat="false" ht="15" hidden="false" customHeight="false" outlineLevel="0" collapsed="false">
      <c r="A99" s="6" t="s">
        <v>61</v>
      </c>
      <c r="B99" s="15" t="n">
        <v>0</v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26" t="n">
        <f aca="false">SUMIF(Adjustments!$C$5:$C$14,I97,Adjustments!$H$5:$H$14)</f>
        <v>0</v>
      </c>
      <c r="J99" s="15" t="n">
        <v>0</v>
      </c>
    </row>
    <row r="100" customFormat="false" ht="15" hidden="false" customHeight="false" outlineLevel="0" collapsed="false">
      <c r="A100" s="4" t="s">
        <v>62</v>
      </c>
      <c r="B100" s="16" t="n">
        <f aca="false">B98+B99</f>
        <v>425</v>
      </c>
      <c r="C100" s="16" t="n">
        <f aca="false">C98+C99</f>
        <v>425</v>
      </c>
      <c r="D100" s="16" t="n">
        <f aca="false">D98+D99</f>
        <v>425</v>
      </c>
      <c r="E100" s="16" t="n">
        <f aca="false">E98+E99</f>
        <v>425</v>
      </c>
      <c r="F100" s="16" t="n">
        <f aca="false">F98+F99</f>
        <v>425</v>
      </c>
      <c r="G100" s="16" t="n">
        <f aca="false">G98+G99</f>
        <v>425</v>
      </c>
      <c r="H100" s="16" t="n">
        <f aca="false">H98+H99</f>
        <v>425</v>
      </c>
      <c r="I100" s="16" t="n">
        <f aca="false">I98+I99</f>
        <v>265</v>
      </c>
      <c r="J100" s="16" t="n">
        <f aca="false">J98+J99</f>
        <v>0</v>
      </c>
    </row>
    <row r="101" customFormat="false" ht="15" hidden="false" customHeight="false" outlineLevel="0" collapsed="false">
      <c r="A101" s="6" t="s">
        <v>63</v>
      </c>
      <c r="B101" s="17" t="n">
        <v>45944</v>
      </c>
      <c r="C101" s="17" t="n">
        <v>45975</v>
      </c>
      <c r="D101" s="17" t="n">
        <v>46005</v>
      </c>
      <c r="E101" s="17" t="n">
        <v>46036</v>
      </c>
      <c r="F101" s="17" t="n">
        <v>46067</v>
      </c>
      <c r="G101" s="17" t="n">
        <v>46095</v>
      </c>
      <c r="H101" s="17" t="n">
        <v>46126</v>
      </c>
      <c r="I101" s="17" t="n">
        <v>46155</v>
      </c>
      <c r="J101" s="18" t="s">
        <v>64</v>
      </c>
    </row>
    <row r="102" customFormat="false" ht="15" hidden="false" customHeight="false" outlineLevel="0" collapsed="false">
      <c r="A102" s="6" t="s">
        <v>65</v>
      </c>
      <c r="B102" s="19" t="n">
        <v>0.6</v>
      </c>
      <c r="C102" s="19" t="n">
        <v>0.6</v>
      </c>
      <c r="D102" s="19" t="n">
        <v>0.6</v>
      </c>
      <c r="E102" s="19" t="n">
        <v>0.6</v>
      </c>
      <c r="F102" s="19" t="n">
        <v>0.6</v>
      </c>
      <c r="G102" s="19" t="n">
        <v>0.6</v>
      </c>
      <c r="H102" s="19" t="n">
        <v>0.6</v>
      </c>
      <c r="I102" s="19" t="n">
        <v>0.6</v>
      </c>
      <c r="J102" s="19" t="n">
        <v>0.6</v>
      </c>
    </row>
    <row r="103" customFormat="false" ht="15" hidden="false" customHeight="false" outlineLevel="0" collapsed="false">
      <c r="A103" s="6" t="s">
        <v>66</v>
      </c>
      <c r="B103" s="20" t="n">
        <f aca="false">1-DAY(B101)/DAY(EOMONTH(B101,0))</f>
        <v>0.548387096774194</v>
      </c>
      <c r="C103" s="20" t="n">
        <f aca="false">1-DAY(C101)/DAY(EOMONTH(C101,0))</f>
        <v>0.533333333333333</v>
      </c>
      <c r="D103" s="20" t="n">
        <f aca="false">1-DAY(D101)/DAY(EOMONTH(D101,0))</f>
        <v>0.548387096774194</v>
      </c>
      <c r="E103" s="20" t="n">
        <f aca="false">1-DAY(E101)/DAY(EOMONTH(E101,0))</f>
        <v>0.548387096774194</v>
      </c>
      <c r="F103" s="20" t="n">
        <f aca="false">1-DAY(F101)/DAY(EOMONTH(F101,0))</f>
        <v>0.5</v>
      </c>
      <c r="G103" s="20" t="n">
        <f aca="false">1-DAY(G101)/DAY(EOMONTH(G101,0))</f>
        <v>0.548387096774194</v>
      </c>
      <c r="H103" s="20" t="n">
        <f aca="false">1-DAY(H101)/DAY(EOMONTH(H101,0))</f>
        <v>0.533333333333333</v>
      </c>
      <c r="I103" s="20" t="n">
        <f aca="false">1-DAY(I101)/DAY(EOMONTH(I101,0))</f>
        <v>0.580645161290323</v>
      </c>
      <c r="J103" s="20" t="n">
        <v>0</v>
      </c>
    </row>
    <row r="104" customFormat="false" ht="15" hidden="false" customHeight="false" outlineLevel="0" collapsed="false">
      <c r="A104" s="4" t="s">
        <v>67</v>
      </c>
      <c r="B104" s="16" t="n">
        <f aca="false">B100*B102*B103</f>
        <v>139.838709677419</v>
      </c>
      <c r="C104" s="16" t="n">
        <f aca="false">C100*C102*C103+(1-B103)*B100*B102</f>
        <v>251.161290322581</v>
      </c>
      <c r="D104" s="16" t="n">
        <f aca="false">D100*D102*D103+(1-C103)*C100*C102</f>
        <v>258.838709677419</v>
      </c>
      <c r="E104" s="16" t="n">
        <f aca="false">E100*E102*E103+(1-D103)*D100*D102</f>
        <v>255</v>
      </c>
      <c r="F104" s="16" t="n">
        <f aca="false">F100*F102*F103+(1-E103)*E100*E102</f>
        <v>242.661290322581</v>
      </c>
      <c r="G104" s="16" t="n">
        <f aca="false">G100*G102*G103+(1-F103)*F100*F102</f>
        <v>267.338709677419</v>
      </c>
      <c r="H104" s="16" t="n">
        <f aca="false">H100*H102*H103+(1-G103)*G100*G102</f>
        <v>251.161290322581</v>
      </c>
      <c r="I104" s="16" t="n">
        <f aca="false">I100*I102*I103+(1-H103)*H100*H102</f>
        <v>211.322580645161</v>
      </c>
      <c r="J104" s="16" t="n">
        <f aca="false">J100*J102*J103+(1-I103)*I100*I102</f>
        <v>66.6774193548387</v>
      </c>
      <c r="O104" s="16" t="n">
        <f aca="false">SUM(B104:J104)</f>
        <v>1944</v>
      </c>
    </row>
    <row r="105" customFormat="false" ht="15" hidden="false" customHeight="false" outlineLevel="0" collapsed="false">
      <c r="A105" s="21" t="s">
        <v>68</v>
      </c>
      <c r="B105" s="22" t="n">
        <f aca="false">B100*B102</f>
        <v>255</v>
      </c>
      <c r="C105" s="22" t="n">
        <f aca="false">C100*C102</f>
        <v>255</v>
      </c>
      <c r="D105" s="22" t="n">
        <f aca="false">D100*D102</f>
        <v>255</v>
      </c>
      <c r="E105" s="22" t="n">
        <f aca="false">E100*E102</f>
        <v>255</v>
      </c>
      <c r="F105" s="22" t="n">
        <f aca="false">F100*F102</f>
        <v>255</v>
      </c>
      <c r="G105" s="22" t="n">
        <f aca="false">G100*G102</f>
        <v>255</v>
      </c>
      <c r="H105" s="22" t="n">
        <f aca="false">H100*H102</f>
        <v>255</v>
      </c>
      <c r="I105" s="22" t="n">
        <f aca="false">I100*I102</f>
        <v>159</v>
      </c>
      <c r="J105" s="22" t="n">
        <f aca="false">J100*J102</f>
        <v>0</v>
      </c>
      <c r="K105" s="23"/>
      <c r="L105" s="23"/>
      <c r="M105" s="23"/>
      <c r="N105" s="23"/>
      <c r="O105" s="24" t="n">
        <f aca="false">SUM(B105:J105)</f>
        <v>1944</v>
      </c>
      <c r="P105" s="24" t="n">
        <f aca="false">O105-O104</f>
        <v>0</v>
      </c>
    </row>
    <row r="108" customFormat="false" ht="15" hidden="false" customHeight="false" outlineLevel="0" collapsed="false">
      <c r="A108" s="8" t="s">
        <v>94</v>
      </c>
      <c r="B108" s="9" t="s">
        <v>95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customFormat="false" ht="15" hidden="false" customHeight="false" outlineLevel="0" collapsed="false">
      <c r="A109" s="6" t="s">
        <v>47</v>
      </c>
      <c r="B109" s="11" t="s">
        <v>53</v>
      </c>
      <c r="C109" s="11" t="s">
        <v>53</v>
      </c>
      <c r="D109" s="11" t="s">
        <v>54</v>
      </c>
      <c r="E109" s="11" t="s">
        <v>55</v>
      </c>
      <c r="F109" s="11" t="s">
        <v>82</v>
      </c>
      <c r="O109" s="4" t="s">
        <v>56</v>
      </c>
      <c r="P109" s="4" t="s">
        <v>57</v>
      </c>
    </row>
    <row r="110" customFormat="false" ht="15" hidden="false" customHeight="false" outlineLevel="0" collapsed="false">
      <c r="A110" s="6" t="s">
        <v>58</v>
      </c>
      <c r="B110" s="12" t="n">
        <v>4108</v>
      </c>
      <c r="C110" s="12" t="n">
        <v>4113</v>
      </c>
      <c r="D110" s="12" t="n">
        <v>4174</v>
      </c>
      <c r="E110" s="12" t="n">
        <v>4236</v>
      </c>
      <c r="F110" s="13" t="s">
        <v>59</v>
      </c>
    </row>
    <row r="111" customFormat="false" ht="15" hidden="false" customHeight="false" outlineLevel="0" collapsed="false">
      <c r="A111" s="6" t="s">
        <v>60</v>
      </c>
      <c r="B111" s="14" t="n">
        <v>425</v>
      </c>
      <c r="C111" s="14" t="n">
        <v>425</v>
      </c>
      <c r="D111" s="14" t="n">
        <v>425</v>
      </c>
      <c r="E111" s="14" t="n">
        <v>425</v>
      </c>
      <c r="F111" s="14" t="n">
        <v>0</v>
      </c>
    </row>
    <row r="112" customFormat="false" ht="15" hidden="false" customHeight="false" outlineLevel="0" collapsed="false">
      <c r="A112" s="6" t="s">
        <v>61</v>
      </c>
      <c r="B112" s="15" t="n">
        <v>0</v>
      </c>
      <c r="C112" s="15" t="n">
        <v>0</v>
      </c>
      <c r="D112" s="15" t="n">
        <v>0</v>
      </c>
      <c r="E112" s="15" t="n">
        <v>0</v>
      </c>
      <c r="F112" s="15" t="n">
        <v>0</v>
      </c>
    </row>
    <row r="113" customFormat="false" ht="15" hidden="false" customHeight="false" outlineLevel="0" collapsed="false">
      <c r="A113" s="4" t="s">
        <v>62</v>
      </c>
      <c r="B113" s="16" t="n">
        <f aca="false">B111+B112</f>
        <v>425</v>
      </c>
      <c r="C113" s="16" t="n">
        <f aca="false">C111+C112</f>
        <v>425</v>
      </c>
      <c r="D113" s="16" t="n">
        <f aca="false">D111+D112</f>
        <v>425</v>
      </c>
      <c r="E113" s="16" t="n">
        <f aca="false">E111+E112</f>
        <v>425</v>
      </c>
      <c r="F113" s="16" t="n">
        <f aca="false">F111+F112</f>
        <v>0</v>
      </c>
    </row>
    <row r="114" customFormat="false" ht="15" hidden="false" customHeight="false" outlineLevel="0" collapsed="false">
      <c r="A114" s="6" t="s">
        <v>63</v>
      </c>
      <c r="B114" s="17" t="n">
        <v>46159</v>
      </c>
      <c r="C114" s="17" t="n">
        <v>46163</v>
      </c>
      <c r="D114" s="17" t="n">
        <v>46194</v>
      </c>
      <c r="E114" s="17" t="n">
        <v>46224</v>
      </c>
      <c r="F114" s="18" t="s">
        <v>64</v>
      </c>
    </row>
    <row r="115" customFormat="false" ht="15" hidden="false" customHeight="false" outlineLevel="0" collapsed="false">
      <c r="A115" s="6" t="s">
        <v>65</v>
      </c>
      <c r="B115" s="19" t="n">
        <v>0.6</v>
      </c>
      <c r="C115" s="19" t="n">
        <v>0.6</v>
      </c>
      <c r="D115" s="19" t="n">
        <v>0.6</v>
      </c>
      <c r="E115" s="19" t="n">
        <v>0.6</v>
      </c>
      <c r="F115" s="19" t="n">
        <v>0.6</v>
      </c>
    </row>
    <row r="116" customFormat="false" ht="15" hidden="false" customHeight="false" outlineLevel="0" collapsed="false">
      <c r="A116" s="6" t="s">
        <v>66</v>
      </c>
      <c r="B116" s="20" t="n">
        <f aca="false">1-DAY(B114)/DAY(EOMONTH(B114,0))</f>
        <v>0.451612903225807</v>
      </c>
      <c r="C116" s="20" t="n">
        <f aca="false">1-DAY(C114)/DAY(EOMONTH(C114,0))</f>
        <v>0.32258064516129</v>
      </c>
      <c r="D116" s="20" t="n">
        <f aca="false">1-DAY(D114)/DAY(EOMONTH(D114,0))</f>
        <v>0.3</v>
      </c>
      <c r="E116" s="20" t="n">
        <f aca="false">1-DAY(E114)/DAY(EOMONTH(E114,0))</f>
        <v>0.32258064516129</v>
      </c>
      <c r="F116" s="20" t="n">
        <v>0</v>
      </c>
    </row>
    <row r="117" customFormat="false" ht="15" hidden="false" customHeight="false" outlineLevel="0" collapsed="false">
      <c r="A117" s="4" t="s">
        <v>67</v>
      </c>
      <c r="B117" s="16" t="n">
        <f aca="false">B113*B115*B116</f>
        <v>115.161290322581</v>
      </c>
      <c r="C117" s="16" t="n">
        <f aca="false">C113*C115*C116+(1-B116)*B113*B115</f>
        <v>222.096774193548</v>
      </c>
      <c r="D117" s="16" t="n">
        <f aca="false">D113*D115*D116+(1-C116)*C113*C115</f>
        <v>249.241935483871</v>
      </c>
      <c r="E117" s="16" t="n">
        <f aca="false">E113*E115*E116+(1-D116)*D113*D115</f>
        <v>260.758064516129</v>
      </c>
      <c r="F117" s="16" t="n">
        <f aca="false">F113*F115*F116+(1-E116)*E113*E115</f>
        <v>172.741935483871</v>
      </c>
      <c r="O117" s="16" t="n">
        <f aca="false">SUM(B117:F117)</f>
        <v>1020</v>
      </c>
    </row>
    <row r="118" customFormat="false" ht="15" hidden="false" customHeight="false" outlineLevel="0" collapsed="false">
      <c r="A118" s="21" t="s">
        <v>68</v>
      </c>
      <c r="B118" s="22" t="n">
        <f aca="false">B113*B115</f>
        <v>255</v>
      </c>
      <c r="C118" s="22" t="n">
        <f aca="false">C113*C115</f>
        <v>255</v>
      </c>
      <c r="D118" s="22" t="n">
        <f aca="false">D113*D115</f>
        <v>255</v>
      </c>
      <c r="E118" s="22" t="n">
        <f aca="false">E113*E115</f>
        <v>255</v>
      </c>
      <c r="F118" s="22" t="n">
        <f aca="false">F113*F115</f>
        <v>0</v>
      </c>
      <c r="G118" s="23"/>
      <c r="H118" s="23"/>
      <c r="I118" s="23"/>
      <c r="J118" s="23"/>
      <c r="K118" s="23"/>
      <c r="L118" s="23"/>
      <c r="M118" s="23"/>
      <c r="N118" s="23"/>
      <c r="O118" s="24" t="n">
        <f aca="false">SUM(B118:F118)</f>
        <v>1020</v>
      </c>
      <c r="P118" s="24" t="n">
        <f aca="false">O118-O117</f>
        <v>0</v>
      </c>
    </row>
    <row r="121" customFormat="false" ht="15" hidden="false" customHeight="false" outlineLevel="0" collapsed="false">
      <c r="A121" s="8" t="s">
        <v>96</v>
      </c>
      <c r="B121" s="9" t="s">
        <v>97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customFormat="false" ht="15" hidden="false" customHeight="false" outlineLevel="0" collapsed="false">
      <c r="A122" s="6" t="s">
        <v>47</v>
      </c>
      <c r="B122" s="11" t="s">
        <v>54</v>
      </c>
      <c r="C122" s="11" t="s">
        <v>55</v>
      </c>
      <c r="D122" s="11" t="s">
        <v>82</v>
      </c>
      <c r="O122" s="4" t="s">
        <v>56</v>
      </c>
      <c r="P122" s="4" t="s">
        <v>57</v>
      </c>
    </row>
    <row r="123" customFormat="false" ht="15" hidden="false" customHeight="false" outlineLevel="0" collapsed="false">
      <c r="A123" s="6" t="s">
        <v>58</v>
      </c>
      <c r="B123" s="12" t="n">
        <v>4162</v>
      </c>
      <c r="C123" s="12" t="n">
        <v>4226</v>
      </c>
      <c r="D123" s="13" t="s">
        <v>59</v>
      </c>
    </row>
    <row r="124" customFormat="false" ht="15" hidden="false" customHeight="false" outlineLevel="0" collapsed="false">
      <c r="A124" s="6" t="s">
        <v>60</v>
      </c>
      <c r="B124" s="14" t="n">
        <v>425</v>
      </c>
      <c r="C124" s="14" t="n">
        <v>425</v>
      </c>
      <c r="D124" s="14" t="n">
        <v>0</v>
      </c>
    </row>
    <row r="125" customFormat="false" ht="15" hidden="false" customHeight="false" outlineLevel="0" collapsed="false">
      <c r="A125" s="6" t="s">
        <v>61</v>
      </c>
      <c r="B125" s="15" t="n">
        <v>0</v>
      </c>
      <c r="C125" s="15" t="n">
        <v>0</v>
      </c>
      <c r="D125" s="15" t="n">
        <v>0</v>
      </c>
    </row>
    <row r="126" customFormat="false" ht="15" hidden="false" customHeight="false" outlineLevel="0" collapsed="false">
      <c r="A126" s="4" t="s">
        <v>62</v>
      </c>
      <c r="B126" s="16" t="n">
        <f aca="false">B124+B125</f>
        <v>425</v>
      </c>
      <c r="C126" s="16" t="n">
        <f aca="false">C124+C125</f>
        <v>425</v>
      </c>
      <c r="D126" s="16" t="n">
        <f aca="false">D124+D125</f>
        <v>0</v>
      </c>
    </row>
    <row r="127" customFormat="false" ht="15" hidden="false" customHeight="false" outlineLevel="0" collapsed="false">
      <c r="A127" s="6" t="s">
        <v>63</v>
      </c>
      <c r="B127" s="17" t="n">
        <v>46190</v>
      </c>
      <c r="C127" s="17" t="n">
        <v>46220</v>
      </c>
      <c r="D127" s="18" t="s">
        <v>64</v>
      </c>
    </row>
    <row r="128" customFormat="false" ht="15" hidden="false" customHeight="false" outlineLevel="0" collapsed="false">
      <c r="A128" s="6" t="s">
        <v>65</v>
      </c>
      <c r="B128" s="19" t="n">
        <v>0.6</v>
      </c>
      <c r="C128" s="19" t="n">
        <v>0.6</v>
      </c>
      <c r="D128" s="19" t="n">
        <v>0.6</v>
      </c>
    </row>
    <row r="129" customFormat="false" ht="15" hidden="false" customHeight="false" outlineLevel="0" collapsed="false">
      <c r="A129" s="6" t="s">
        <v>66</v>
      </c>
      <c r="B129" s="20" t="n">
        <f aca="false">1-DAY(B127)/DAY(EOMONTH(B127,0))</f>
        <v>0.433333333333333</v>
      </c>
      <c r="C129" s="20" t="n">
        <f aca="false">1-DAY(C127)/DAY(EOMONTH(C127,0))</f>
        <v>0.451612903225807</v>
      </c>
      <c r="D129" s="20" t="n">
        <v>0</v>
      </c>
    </row>
    <row r="130" customFormat="false" ht="15" hidden="false" customHeight="false" outlineLevel="0" collapsed="false">
      <c r="A130" s="4" t="s">
        <v>67</v>
      </c>
      <c r="B130" s="16" t="n">
        <f aca="false">B126*B128*B129</f>
        <v>110.5</v>
      </c>
      <c r="C130" s="16" t="n">
        <f aca="false">C126*C128*C129+(1-B129)*B126*B128</f>
        <v>259.661290322581</v>
      </c>
      <c r="D130" s="16" t="n">
        <f aca="false">D126*D128*D129+(1-C129)*C126*C128</f>
        <v>139.838709677419</v>
      </c>
      <c r="O130" s="16" t="n">
        <f aca="false">SUM(B130:D130)</f>
        <v>510</v>
      </c>
    </row>
    <row r="131" customFormat="false" ht="15" hidden="false" customHeight="false" outlineLevel="0" collapsed="false">
      <c r="A131" s="21" t="s">
        <v>68</v>
      </c>
      <c r="B131" s="22" t="n">
        <f aca="false">B126*B128</f>
        <v>255</v>
      </c>
      <c r="C131" s="22" t="n">
        <f aca="false">C126*C128</f>
        <v>255</v>
      </c>
      <c r="D131" s="22" t="n">
        <f aca="false">D126*D128</f>
        <v>0</v>
      </c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4" t="n">
        <f aca="false">SUM(B131:D131)</f>
        <v>510</v>
      </c>
      <c r="P131" s="24" t="n">
        <f aca="false">O131-O130</f>
        <v>0</v>
      </c>
    </row>
    <row r="134" customFormat="false" ht="15" hidden="false" customHeight="false" outlineLevel="0" collapsed="false">
      <c r="A134" s="8" t="s">
        <v>98</v>
      </c>
      <c r="B134" s="9" t="s">
        <v>99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customFormat="false" ht="15" hidden="false" customHeight="false" outlineLevel="0" collapsed="false">
      <c r="A135" s="6" t="s">
        <v>47</v>
      </c>
      <c r="B135" s="11" t="s">
        <v>100</v>
      </c>
      <c r="C135" s="11" t="s">
        <v>101</v>
      </c>
      <c r="D135" s="11" t="s">
        <v>102</v>
      </c>
      <c r="E135" s="11" t="s">
        <v>103</v>
      </c>
      <c r="F135" s="11" t="s">
        <v>104</v>
      </c>
      <c r="G135" s="11" t="s">
        <v>105</v>
      </c>
      <c r="H135" s="11" t="s">
        <v>106</v>
      </c>
      <c r="I135" s="11" t="s">
        <v>107</v>
      </c>
      <c r="J135" s="11" t="s">
        <v>87</v>
      </c>
      <c r="K135" s="11" t="s">
        <v>80</v>
      </c>
      <c r="O135" s="4" t="s">
        <v>56</v>
      </c>
      <c r="P135" s="4" t="s">
        <v>57</v>
      </c>
    </row>
    <row r="136" customFormat="false" ht="15" hidden="false" customHeight="false" outlineLevel="0" collapsed="false">
      <c r="A136" s="6" t="s">
        <v>58</v>
      </c>
      <c r="B136" s="12" t="n">
        <v>3314</v>
      </c>
      <c r="C136" s="12" t="n">
        <v>3350</v>
      </c>
      <c r="D136" s="12" t="n">
        <v>3384</v>
      </c>
      <c r="E136" s="12" t="n">
        <v>3419</v>
      </c>
      <c r="F136" s="12" t="n">
        <v>3456</v>
      </c>
      <c r="G136" s="12" t="n">
        <v>3488</v>
      </c>
      <c r="H136" s="12" t="n">
        <v>3529</v>
      </c>
      <c r="I136" s="12" t="n">
        <v>3579</v>
      </c>
      <c r="J136" s="12" t="n">
        <v>3636</v>
      </c>
      <c r="K136" s="13" t="s">
        <v>59</v>
      </c>
    </row>
    <row r="137" customFormat="false" ht="15" hidden="false" customHeight="false" outlineLevel="0" collapsed="false">
      <c r="A137" s="6" t="s">
        <v>60</v>
      </c>
      <c r="B137" s="14" t="n">
        <v>425</v>
      </c>
      <c r="C137" s="14" t="n">
        <v>425</v>
      </c>
      <c r="D137" s="14" t="n">
        <v>425</v>
      </c>
      <c r="E137" s="14" t="n">
        <v>425</v>
      </c>
      <c r="F137" s="14" t="n">
        <v>425</v>
      </c>
      <c r="G137" s="14" t="n">
        <v>425</v>
      </c>
      <c r="H137" s="14" t="n">
        <v>425</v>
      </c>
      <c r="I137" s="14" t="n">
        <v>425</v>
      </c>
      <c r="J137" s="14" t="n">
        <v>425</v>
      </c>
      <c r="K137" s="14" t="n">
        <v>0</v>
      </c>
    </row>
    <row r="138" customFormat="false" ht="15" hidden="false" customHeight="false" outlineLevel="0" collapsed="false">
      <c r="A138" s="6" t="s">
        <v>61</v>
      </c>
      <c r="B138" s="15" t="n">
        <v>0</v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</row>
    <row r="139" customFormat="false" ht="15" hidden="false" customHeight="false" outlineLevel="0" collapsed="false">
      <c r="A139" s="4" t="s">
        <v>62</v>
      </c>
      <c r="B139" s="16" t="n">
        <f aca="false">B137+B138</f>
        <v>425</v>
      </c>
      <c r="C139" s="16" t="n">
        <f aca="false">C137+C138</f>
        <v>425</v>
      </c>
      <c r="D139" s="16" t="n">
        <f aca="false">D137+D138</f>
        <v>425</v>
      </c>
      <c r="E139" s="16" t="n">
        <f aca="false">E137+E138</f>
        <v>425</v>
      </c>
      <c r="F139" s="16" t="n">
        <f aca="false">F137+F138</f>
        <v>425</v>
      </c>
      <c r="G139" s="16" t="n">
        <f aca="false">G137+G138</f>
        <v>425</v>
      </c>
      <c r="H139" s="16" t="n">
        <f aca="false">H137+H138</f>
        <v>425</v>
      </c>
      <c r="I139" s="16" t="n">
        <f aca="false">I137+I138</f>
        <v>425</v>
      </c>
      <c r="J139" s="16" t="n">
        <f aca="false">J137+J138</f>
        <v>425</v>
      </c>
      <c r="K139" s="16" t="n">
        <f aca="false">K137+K138</f>
        <v>0</v>
      </c>
    </row>
    <row r="140" customFormat="false" ht="15" hidden="false" customHeight="false" outlineLevel="0" collapsed="false">
      <c r="A140" s="6" t="s">
        <v>63</v>
      </c>
      <c r="B140" s="17" t="n">
        <v>45660</v>
      </c>
      <c r="C140" s="17" t="n">
        <v>45691</v>
      </c>
      <c r="D140" s="17" t="n">
        <v>45719</v>
      </c>
      <c r="E140" s="17" t="n">
        <v>45750</v>
      </c>
      <c r="F140" s="17" t="n">
        <v>45780</v>
      </c>
      <c r="G140" s="17" t="n">
        <v>45811</v>
      </c>
      <c r="H140" s="17" t="n">
        <v>45841</v>
      </c>
      <c r="I140" s="17" t="n">
        <v>45872</v>
      </c>
      <c r="J140" s="17" t="n">
        <v>45903</v>
      </c>
      <c r="K140" s="18" t="s">
        <v>64</v>
      </c>
    </row>
    <row r="141" customFormat="false" ht="15" hidden="false" customHeight="false" outlineLevel="0" collapsed="false">
      <c r="A141" s="6" t="s">
        <v>65</v>
      </c>
      <c r="B141" s="19" t="n">
        <v>0.6</v>
      </c>
      <c r="C141" s="19" t="n">
        <v>0.6</v>
      </c>
      <c r="D141" s="19" t="n">
        <v>0.6</v>
      </c>
      <c r="E141" s="19" t="n">
        <v>0.6</v>
      </c>
      <c r="F141" s="19" t="n">
        <v>0.6</v>
      </c>
      <c r="G141" s="19" t="n">
        <v>0.6</v>
      </c>
      <c r="H141" s="19" t="n">
        <v>0.6</v>
      </c>
      <c r="I141" s="19" t="n">
        <v>0.6</v>
      </c>
      <c r="J141" s="19" t="n">
        <v>0.6</v>
      </c>
      <c r="K141" s="19" t="n">
        <v>0.6</v>
      </c>
    </row>
    <row r="142" customFormat="false" ht="15" hidden="false" customHeight="false" outlineLevel="0" collapsed="false">
      <c r="A142" s="6" t="s">
        <v>66</v>
      </c>
      <c r="B142" s="20" t="n">
        <f aca="false">1-DAY(B140)/DAY(EOMONTH(B140,0))</f>
        <v>0.903225806451613</v>
      </c>
      <c r="C142" s="20" t="n">
        <f aca="false">1-DAY(C140)/DAY(EOMONTH(C140,0))</f>
        <v>0.892857142857143</v>
      </c>
      <c r="D142" s="20" t="n">
        <f aca="false">1-DAY(D140)/DAY(EOMONTH(D140,0))</f>
        <v>0.903225806451613</v>
      </c>
      <c r="E142" s="20" t="n">
        <f aca="false">1-DAY(E140)/DAY(EOMONTH(E140,0))</f>
        <v>0.9</v>
      </c>
      <c r="F142" s="20" t="n">
        <f aca="false">1-DAY(F140)/DAY(EOMONTH(F140,0))</f>
        <v>0.903225806451613</v>
      </c>
      <c r="G142" s="20" t="n">
        <f aca="false">1-DAY(G140)/DAY(EOMONTH(G140,0))</f>
        <v>0.9</v>
      </c>
      <c r="H142" s="20" t="n">
        <f aca="false">1-DAY(H140)/DAY(EOMONTH(H140,0))</f>
        <v>0.903225806451613</v>
      </c>
      <c r="I142" s="20" t="n">
        <f aca="false">1-DAY(I140)/DAY(EOMONTH(I140,0))</f>
        <v>0.903225806451613</v>
      </c>
      <c r="J142" s="20" t="n">
        <f aca="false">1-DAY(J140)/DAY(EOMONTH(J140,0))</f>
        <v>0.9</v>
      </c>
      <c r="K142" s="20" t="n">
        <v>0</v>
      </c>
    </row>
    <row r="143" customFormat="false" ht="15" hidden="false" customHeight="false" outlineLevel="0" collapsed="false">
      <c r="A143" s="4" t="s">
        <v>67</v>
      </c>
      <c r="B143" s="16" t="n">
        <f aca="false">B139*B141*B142</f>
        <v>230.322580645161</v>
      </c>
      <c r="C143" s="16" t="n">
        <f aca="false">C139*C141*C142+(1-B142)*B139*B141</f>
        <v>252.35599078341</v>
      </c>
      <c r="D143" s="16" t="n">
        <f aca="false">D139*D141*D142+(1-C142)*C139*C141</f>
        <v>257.64400921659</v>
      </c>
      <c r="E143" s="16" t="n">
        <f aca="false">E139*E141*E142+(1-D142)*D139*D141</f>
        <v>254.177419354839</v>
      </c>
      <c r="F143" s="16" t="n">
        <f aca="false">F139*F141*F142+(1-E142)*E139*E141</f>
        <v>255.822580645161</v>
      </c>
      <c r="G143" s="16" t="n">
        <f aca="false">G139*G141*G142+(1-F142)*F139*F141</f>
        <v>254.177419354839</v>
      </c>
      <c r="H143" s="16" t="n">
        <f aca="false">H139*H141*H142+(1-G142)*G139*G141</f>
        <v>255.822580645161</v>
      </c>
      <c r="I143" s="16" t="n">
        <f aca="false">I139*I141*I142+(1-H142)*H139*H141</f>
        <v>255</v>
      </c>
      <c r="J143" s="16" t="n">
        <f aca="false">J139*J141*J142+(1-I142)*I139*I141</f>
        <v>254.177419354839</v>
      </c>
      <c r="K143" s="16" t="n">
        <f aca="false">K139*K141*K142+(1-J142)*J139*J141</f>
        <v>25.5</v>
      </c>
      <c r="O143" s="16" t="n">
        <f aca="false">SUM(B143:K143)</f>
        <v>2295</v>
      </c>
    </row>
    <row r="144" customFormat="false" ht="15" hidden="false" customHeight="false" outlineLevel="0" collapsed="false">
      <c r="A144" s="21" t="s">
        <v>68</v>
      </c>
      <c r="B144" s="22" t="n">
        <f aca="false">B139*B141</f>
        <v>255</v>
      </c>
      <c r="C144" s="22" t="n">
        <f aca="false">C139*C141</f>
        <v>255</v>
      </c>
      <c r="D144" s="22" t="n">
        <f aca="false">D139*D141</f>
        <v>255</v>
      </c>
      <c r="E144" s="22" t="n">
        <f aca="false">E139*E141</f>
        <v>255</v>
      </c>
      <c r="F144" s="22" t="n">
        <f aca="false">F139*F141</f>
        <v>255</v>
      </c>
      <c r="G144" s="22" t="n">
        <f aca="false">G139*G141</f>
        <v>255</v>
      </c>
      <c r="H144" s="22" t="n">
        <f aca="false">H139*H141</f>
        <v>255</v>
      </c>
      <c r="I144" s="22" t="n">
        <f aca="false">I139*I141</f>
        <v>255</v>
      </c>
      <c r="J144" s="22" t="n">
        <f aca="false">J139*J141</f>
        <v>255</v>
      </c>
      <c r="K144" s="22" t="n">
        <f aca="false">K139*K141</f>
        <v>0</v>
      </c>
      <c r="L144" s="23"/>
      <c r="M144" s="23"/>
      <c r="N144" s="23"/>
      <c r="O144" s="24" t="n">
        <f aca="false">SUM(B144:K144)</f>
        <v>2295</v>
      </c>
      <c r="P144" s="24" t="n">
        <f aca="false">O144-O143</f>
        <v>0</v>
      </c>
    </row>
    <row r="147" customFormat="false" ht="15" hidden="false" customHeight="false" outlineLevel="0" collapsed="false">
      <c r="A147" s="8" t="s">
        <v>108</v>
      </c>
      <c r="B147" s="9" t="s">
        <v>109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customFormat="false" ht="15" hidden="false" customHeight="false" outlineLevel="0" collapsed="false">
      <c r="A148" s="6" t="s">
        <v>47</v>
      </c>
      <c r="B148" s="11" t="s">
        <v>53</v>
      </c>
      <c r="C148" s="11" t="s">
        <v>54</v>
      </c>
      <c r="D148" s="11" t="s">
        <v>55</v>
      </c>
      <c r="E148" s="11" t="s">
        <v>82</v>
      </c>
      <c r="O148" s="4" t="s">
        <v>56</v>
      </c>
      <c r="P148" s="4" t="s">
        <v>57</v>
      </c>
    </row>
    <row r="149" customFormat="false" ht="15" hidden="false" customHeight="false" outlineLevel="0" collapsed="false">
      <c r="A149" s="6" t="s">
        <v>58</v>
      </c>
      <c r="B149" s="12" t="n">
        <v>4086</v>
      </c>
      <c r="C149" s="12" t="n">
        <v>4154</v>
      </c>
      <c r="D149" s="12" t="n">
        <v>4218</v>
      </c>
      <c r="E149" s="13" t="s">
        <v>59</v>
      </c>
    </row>
    <row r="150" customFormat="false" ht="15" hidden="false" customHeight="false" outlineLevel="0" collapsed="false">
      <c r="A150" s="6" t="s">
        <v>60</v>
      </c>
      <c r="B150" s="14" t="n">
        <v>425</v>
      </c>
      <c r="C150" s="14" t="n">
        <v>425</v>
      </c>
      <c r="D150" s="14" t="n">
        <v>425</v>
      </c>
      <c r="E150" s="14" t="n">
        <v>0</v>
      </c>
    </row>
    <row r="151" customFormat="false" ht="15" hidden="false" customHeight="false" outlineLevel="0" collapsed="false">
      <c r="A151" s="6" t="s">
        <v>61</v>
      </c>
      <c r="B151" s="15" t="n">
        <v>0</v>
      </c>
      <c r="C151" s="15" t="n">
        <v>0</v>
      </c>
      <c r="D151" s="15" t="n">
        <v>0</v>
      </c>
      <c r="E151" s="15" t="n">
        <v>0</v>
      </c>
    </row>
    <row r="152" customFormat="false" ht="15" hidden="false" customHeight="false" outlineLevel="0" collapsed="false">
      <c r="A152" s="4" t="s">
        <v>62</v>
      </c>
      <c r="B152" s="16" t="n">
        <f aca="false">B150+B151</f>
        <v>425</v>
      </c>
      <c r="C152" s="16" t="n">
        <f aca="false">C150+C151</f>
        <v>425</v>
      </c>
      <c r="D152" s="16" t="n">
        <f aca="false">D150+D151</f>
        <v>425</v>
      </c>
      <c r="E152" s="16" t="n">
        <f aca="false">E150+E151</f>
        <v>0</v>
      </c>
    </row>
    <row r="153" customFormat="false" ht="15" hidden="false" customHeight="false" outlineLevel="0" collapsed="false">
      <c r="A153" s="6" t="s">
        <v>63</v>
      </c>
      <c r="B153" s="17" t="n">
        <v>46156</v>
      </c>
      <c r="C153" s="17" t="n">
        <v>46187</v>
      </c>
      <c r="D153" s="17" t="n">
        <v>46217</v>
      </c>
      <c r="E153" s="18" t="s">
        <v>64</v>
      </c>
    </row>
    <row r="154" customFormat="false" ht="15" hidden="false" customHeight="false" outlineLevel="0" collapsed="false">
      <c r="A154" s="6" t="s">
        <v>65</v>
      </c>
      <c r="B154" s="19" t="n">
        <v>0.6</v>
      </c>
      <c r="C154" s="19" t="n">
        <v>0.6</v>
      </c>
      <c r="D154" s="19" t="n">
        <v>0.6</v>
      </c>
      <c r="E154" s="19" t="n">
        <v>0.6</v>
      </c>
    </row>
    <row r="155" customFormat="false" ht="15" hidden="false" customHeight="false" outlineLevel="0" collapsed="false">
      <c r="A155" s="6" t="s">
        <v>66</v>
      </c>
      <c r="B155" s="20" t="n">
        <f aca="false">1-DAY(B153)/DAY(EOMONTH(B153,0))</f>
        <v>0.548387096774194</v>
      </c>
      <c r="C155" s="20" t="n">
        <f aca="false">1-DAY(C153)/DAY(EOMONTH(C153,0))</f>
        <v>0.533333333333333</v>
      </c>
      <c r="D155" s="20" t="n">
        <f aca="false">1-DAY(D153)/DAY(EOMONTH(D153,0))</f>
        <v>0.548387096774194</v>
      </c>
      <c r="E155" s="20" t="n">
        <v>0</v>
      </c>
    </row>
    <row r="156" customFormat="false" ht="15" hidden="false" customHeight="false" outlineLevel="0" collapsed="false">
      <c r="A156" s="4" t="s">
        <v>67</v>
      </c>
      <c r="B156" s="16" t="n">
        <f aca="false">B152*B154*B155</f>
        <v>139.838709677419</v>
      </c>
      <c r="C156" s="16" t="n">
        <f aca="false">C152*C154*C155+(1-B155)*B152*B154</f>
        <v>251.161290322581</v>
      </c>
      <c r="D156" s="16" t="n">
        <f aca="false">D152*D154*D155+(1-C155)*C152*C154</f>
        <v>258.838709677419</v>
      </c>
      <c r="E156" s="16" t="n">
        <f aca="false">E152*E154*E155+(1-D155)*D152*D154</f>
        <v>115.161290322581</v>
      </c>
      <c r="O156" s="16" t="n">
        <f aca="false">SUM(B156:E156)</f>
        <v>765</v>
      </c>
    </row>
    <row r="157" customFormat="false" ht="15" hidden="false" customHeight="false" outlineLevel="0" collapsed="false">
      <c r="A157" s="21" t="s">
        <v>68</v>
      </c>
      <c r="B157" s="22" t="n">
        <f aca="false">B152*B154</f>
        <v>255</v>
      </c>
      <c r="C157" s="22" t="n">
        <f aca="false">C152*C154</f>
        <v>255</v>
      </c>
      <c r="D157" s="22" t="n">
        <f aca="false">D152*D154</f>
        <v>255</v>
      </c>
      <c r="E157" s="22" t="n">
        <f aca="false">E152*E154</f>
        <v>0</v>
      </c>
      <c r="F157" s="23"/>
      <c r="G157" s="23"/>
      <c r="H157" s="23"/>
      <c r="I157" s="23"/>
      <c r="J157" s="23"/>
      <c r="K157" s="23"/>
      <c r="L157" s="23"/>
      <c r="M157" s="23"/>
      <c r="N157" s="23"/>
      <c r="O157" s="24" t="n">
        <f aca="false">SUM(B157:E157)</f>
        <v>765</v>
      </c>
      <c r="P157" s="24" t="n">
        <f aca="false">O157-O156</f>
        <v>0</v>
      </c>
    </row>
    <row r="160" customFormat="false" ht="15" hidden="false" customHeight="false" outlineLevel="0" collapsed="false">
      <c r="A160" s="8" t="s">
        <v>110</v>
      </c>
      <c r="B160" s="9" t="s">
        <v>111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customFormat="false" ht="15" hidden="false" customHeight="false" outlineLevel="0" collapsed="false">
      <c r="A161" s="6" t="s">
        <v>47</v>
      </c>
      <c r="B161" s="11" t="s">
        <v>55</v>
      </c>
      <c r="C161" s="11" t="s">
        <v>82</v>
      </c>
      <c r="O161" s="4" t="s">
        <v>56</v>
      </c>
      <c r="P161" s="4" t="s">
        <v>57</v>
      </c>
    </row>
    <row r="162" customFormat="false" ht="15" hidden="false" customHeight="false" outlineLevel="0" collapsed="false">
      <c r="A162" s="6" t="s">
        <v>58</v>
      </c>
      <c r="B162" s="12" t="n">
        <v>4231</v>
      </c>
      <c r="C162" s="13" t="s">
        <v>59</v>
      </c>
    </row>
    <row r="163" customFormat="false" ht="15" hidden="false" customHeight="false" outlineLevel="0" collapsed="false">
      <c r="A163" s="6" t="s">
        <v>60</v>
      </c>
      <c r="B163" s="14" t="n">
        <v>425</v>
      </c>
      <c r="C163" s="14" t="n">
        <v>0</v>
      </c>
    </row>
    <row r="164" customFormat="false" ht="15" hidden="false" customHeight="false" outlineLevel="0" collapsed="false">
      <c r="A164" s="6" t="s">
        <v>61</v>
      </c>
      <c r="B164" s="15" t="n">
        <v>0</v>
      </c>
      <c r="C164" s="15" t="n">
        <v>0</v>
      </c>
    </row>
    <row r="165" customFormat="false" ht="15" hidden="false" customHeight="false" outlineLevel="0" collapsed="false">
      <c r="A165" s="4" t="s">
        <v>62</v>
      </c>
      <c r="B165" s="16" t="n">
        <f aca="false">B163+B164</f>
        <v>425</v>
      </c>
      <c r="C165" s="16" t="n">
        <f aca="false">C163+C164</f>
        <v>0</v>
      </c>
    </row>
    <row r="166" customFormat="false" ht="15" hidden="false" customHeight="false" outlineLevel="0" collapsed="false">
      <c r="A166" s="6" t="s">
        <v>63</v>
      </c>
      <c r="B166" s="17" t="n">
        <v>46223</v>
      </c>
      <c r="C166" s="18" t="s">
        <v>64</v>
      </c>
    </row>
    <row r="167" customFormat="false" ht="15" hidden="false" customHeight="false" outlineLevel="0" collapsed="false">
      <c r="A167" s="6" t="s">
        <v>65</v>
      </c>
      <c r="B167" s="19" t="n">
        <v>0.6</v>
      </c>
      <c r="C167" s="19" t="n">
        <v>0.6</v>
      </c>
    </row>
    <row r="168" customFormat="false" ht="15" hidden="false" customHeight="false" outlineLevel="0" collapsed="false">
      <c r="A168" s="6" t="s">
        <v>66</v>
      </c>
      <c r="B168" s="20" t="n">
        <f aca="false">1-DAY(B166)/DAY(EOMONTH(B166,0))</f>
        <v>0.354838709677419</v>
      </c>
      <c r="C168" s="20" t="n">
        <v>0</v>
      </c>
    </row>
    <row r="169" customFormat="false" ht="15" hidden="false" customHeight="false" outlineLevel="0" collapsed="false">
      <c r="A169" s="4" t="s">
        <v>67</v>
      </c>
      <c r="B169" s="16" t="n">
        <f aca="false">B165*B167*B168</f>
        <v>90.4838709677419</v>
      </c>
      <c r="C169" s="16" t="n">
        <f aca="false">C165*C167*C168+(1-B168)*B165*B167</f>
        <v>164.516129032258</v>
      </c>
      <c r="O169" s="16" t="n">
        <f aca="false">SUM(B169:C169)</f>
        <v>255</v>
      </c>
    </row>
    <row r="170" customFormat="false" ht="15" hidden="false" customHeight="false" outlineLevel="0" collapsed="false">
      <c r="A170" s="21" t="s">
        <v>68</v>
      </c>
      <c r="B170" s="22" t="n">
        <f aca="false">B165*B167</f>
        <v>255</v>
      </c>
      <c r="C170" s="22" t="n">
        <f aca="false">C165*C167</f>
        <v>0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4" t="n">
        <f aca="false">SUM(B170:C170)</f>
        <v>255</v>
      </c>
      <c r="P170" s="24" t="n">
        <f aca="false">O170-O169</f>
        <v>0</v>
      </c>
    </row>
    <row r="173" customFormat="false" ht="15" hidden="false" customHeight="false" outlineLevel="0" collapsed="false">
      <c r="A173" s="8" t="s">
        <v>112</v>
      </c>
      <c r="B173" s="9" t="s">
        <v>113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customFormat="false" ht="15" hidden="false" customHeight="false" outlineLevel="0" collapsed="false">
      <c r="A174" s="6" t="s">
        <v>47</v>
      </c>
      <c r="B174" s="11" t="s">
        <v>53</v>
      </c>
      <c r="C174" s="11" t="s">
        <v>54</v>
      </c>
      <c r="O174" s="4" t="s">
        <v>56</v>
      </c>
      <c r="P174" s="4" t="s">
        <v>57</v>
      </c>
    </row>
    <row r="175" customFormat="false" ht="15" hidden="false" customHeight="false" outlineLevel="0" collapsed="false">
      <c r="A175" s="6" t="s">
        <v>58</v>
      </c>
      <c r="B175" s="12" t="n">
        <v>4080</v>
      </c>
      <c r="C175" s="13" t="s">
        <v>59</v>
      </c>
    </row>
    <row r="176" customFormat="false" ht="15" hidden="false" customHeight="false" outlineLevel="0" collapsed="false">
      <c r="A176" s="6" t="s">
        <v>60</v>
      </c>
      <c r="B176" s="14" t="n">
        <v>400</v>
      </c>
      <c r="C176" s="14" t="n">
        <v>0</v>
      </c>
    </row>
    <row r="177" customFormat="false" ht="15" hidden="false" customHeight="false" outlineLevel="0" collapsed="false">
      <c r="A177" s="6" t="s">
        <v>61</v>
      </c>
      <c r="B177" s="15" t="n">
        <v>0</v>
      </c>
      <c r="C177" s="15" t="n">
        <v>0</v>
      </c>
    </row>
    <row r="178" customFormat="false" ht="15" hidden="false" customHeight="false" outlineLevel="0" collapsed="false">
      <c r="A178" s="4" t="s">
        <v>62</v>
      </c>
      <c r="B178" s="16" t="n">
        <f aca="false">B176+B177</f>
        <v>400</v>
      </c>
      <c r="C178" s="16" t="n">
        <f aca="false">C176+C177</f>
        <v>0</v>
      </c>
    </row>
    <row r="179" customFormat="false" ht="15" hidden="false" customHeight="false" outlineLevel="0" collapsed="false">
      <c r="A179" s="6" t="s">
        <v>63</v>
      </c>
      <c r="B179" s="17" t="n">
        <v>46153</v>
      </c>
      <c r="C179" s="18" t="s">
        <v>64</v>
      </c>
    </row>
    <row r="180" customFormat="false" ht="15" hidden="false" customHeight="false" outlineLevel="0" collapsed="false">
      <c r="A180" s="6" t="s">
        <v>65</v>
      </c>
      <c r="B180" s="19" t="n">
        <v>0.6</v>
      </c>
      <c r="C180" s="19" t="n">
        <v>0.6</v>
      </c>
    </row>
    <row r="181" customFormat="false" ht="15" hidden="false" customHeight="false" outlineLevel="0" collapsed="false">
      <c r="A181" s="6" t="s">
        <v>66</v>
      </c>
      <c r="B181" s="20" t="n">
        <f aca="false">1-DAY(B179)/DAY(EOMONTH(B179,0))</f>
        <v>0.645161290322581</v>
      </c>
      <c r="C181" s="20" t="n">
        <v>0</v>
      </c>
    </row>
    <row r="182" customFormat="false" ht="15" hidden="false" customHeight="false" outlineLevel="0" collapsed="false">
      <c r="A182" s="4" t="s">
        <v>67</v>
      </c>
      <c r="B182" s="16" t="n">
        <f aca="false">B178*B180*B181</f>
        <v>154.838709677419</v>
      </c>
      <c r="C182" s="16" t="n">
        <f aca="false">C178*C180*C181+(1-B181)*B178*B180</f>
        <v>85.1612903225806</v>
      </c>
      <c r="O182" s="16" t="n">
        <f aca="false">SUM(B182:C182)</f>
        <v>240</v>
      </c>
    </row>
    <row r="183" customFormat="false" ht="15" hidden="false" customHeight="false" outlineLevel="0" collapsed="false">
      <c r="A183" s="21" t="s">
        <v>68</v>
      </c>
      <c r="B183" s="22" t="n">
        <f aca="false">B178*B180</f>
        <v>240</v>
      </c>
      <c r="C183" s="22" t="n">
        <f aca="false">C178*C180</f>
        <v>0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4" t="n">
        <f aca="false">SUM(B183:C183)</f>
        <v>240</v>
      </c>
      <c r="P183" s="24" t="n">
        <f aca="false">O183-O182</f>
        <v>0</v>
      </c>
    </row>
    <row r="186" customFormat="false" ht="15" hidden="false" customHeight="false" outlineLevel="0" collapsed="false">
      <c r="A186" s="8" t="s">
        <v>114</v>
      </c>
      <c r="B186" s="9" t="s">
        <v>115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customFormat="false" ht="15" hidden="false" customHeight="false" outlineLevel="0" collapsed="false">
      <c r="A187" s="6" t="s">
        <v>47</v>
      </c>
      <c r="B187" s="11" t="s">
        <v>87</v>
      </c>
      <c r="C187" s="11" t="s">
        <v>80</v>
      </c>
      <c r="D187" s="11" t="s">
        <v>81</v>
      </c>
      <c r="E187" s="11" t="s">
        <v>48</v>
      </c>
      <c r="F187" s="11" t="s">
        <v>49</v>
      </c>
      <c r="G187" s="11" t="s">
        <v>50</v>
      </c>
      <c r="H187" s="11" t="s">
        <v>51</v>
      </c>
      <c r="I187" s="11" t="s">
        <v>51</v>
      </c>
      <c r="J187" s="11" t="s">
        <v>52</v>
      </c>
      <c r="K187" s="11" t="s">
        <v>53</v>
      </c>
      <c r="L187" s="11" t="s">
        <v>54</v>
      </c>
      <c r="M187" s="11" t="s">
        <v>55</v>
      </c>
      <c r="N187" s="11" t="s">
        <v>82</v>
      </c>
      <c r="O187" s="4" t="s">
        <v>56</v>
      </c>
      <c r="P187" s="4" t="s">
        <v>57</v>
      </c>
    </row>
    <row r="188" customFormat="false" ht="15" hidden="false" customHeight="false" outlineLevel="0" collapsed="false">
      <c r="A188" s="6" t="s">
        <v>58</v>
      </c>
      <c r="B188" s="12" t="n">
        <v>3678</v>
      </c>
      <c r="C188" s="12" t="n">
        <v>3731</v>
      </c>
      <c r="D188" s="12" t="n">
        <v>3784</v>
      </c>
      <c r="E188" s="12" t="n">
        <v>3836</v>
      </c>
      <c r="F188" s="12" t="n">
        <v>3893</v>
      </c>
      <c r="G188" s="13" t="s">
        <v>59</v>
      </c>
      <c r="H188" s="12" t="n">
        <v>3947</v>
      </c>
      <c r="I188" s="12" t="n">
        <v>3997</v>
      </c>
      <c r="J188" s="12" t="n">
        <v>4056</v>
      </c>
      <c r="K188" s="12" t="n">
        <v>4123</v>
      </c>
      <c r="L188" s="13" t="s">
        <v>59</v>
      </c>
      <c r="M188" s="12" t="n">
        <v>4216</v>
      </c>
      <c r="N188" s="13" t="s">
        <v>59</v>
      </c>
    </row>
    <row r="189" customFormat="false" ht="15" hidden="false" customHeight="false" outlineLevel="0" collapsed="false">
      <c r="A189" s="6" t="s">
        <v>60</v>
      </c>
      <c r="B189" s="14" t="n">
        <v>425</v>
      </c>
      <c r="C189" s="14" t="n">
        <v>425</v>
      </c>
      <c r="D189" s="14" t="n">
        <v>425</v>
      </c>
      <c r="E189" s="14" t="n">
        <v>425</v>
      </c>
      <c r="F189" s="14" t="n">
        <v>425</v>
      </c>
      <c r="G189" s="14" t="n">
        <v>0</v>
      </c>
      <c r="H189" s="14" t="n">
        <v>425</v>
      </c>
      <c r="I189" s="14" t="n">
        <v>425</v>
      </c>
      <c r="J189" s="14" t="n">
        <v>425</v>
      </c>
      <c r="K189" s="14" t="n">
        <v>425</v>
      </c>
      <c r="L189" s="14" t="n">
        <v>0</v>
      </c>
      <c r="M189" s="14" t="n">
        <v>265</v>
      </c>
      <c r="N189" s="14" t="n">
        <v>0</v>
      </c>
    </row>
    <row r="190" customFormat="false" ht="15" hidden="false" customHeight="false" outlineLevel="0" collapsed="false">
      <c r="A190" s="6" t="s">
        <v>61</v>
      </c>
      <c r="B190" s="15" t="n">
        <v>0</v>
      </c>
      <c r="C190" s="15" t="n">
        <v>0</v>
      </c>
      <c r="D190" s="15" t="n">
        <v>0</v>
      </c>
      <c r="E190" s="15" t="n">
        <v>0</v>
      </c>
      <c r="F190" s="15" t="n">
        <v>0</v>
      </c>
      <c r="G190" s="15" t="n">
        <v>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N190" s="15" t="n">
        <v>0</v>
      </c>
    </row>
    <row r="191" customFormat="false" ht="15" hidden="false" customHeight="false" outlineLevel="0" collapsed="false">
      <c r="A191" s="4" t="s">
        <v>62</v>
      </c>
      <c r="B191" s="16" t="n">
        <f aca="false">B189+B190</f>
        <v>425</v>
      </c>
      <c r="C191" s="16" t="n">
        <f aca="false">C189+C190</f>
        <v>425</v>
      </c>
      <c r="D191" s="16" t="n">
        <f aca="false">D189+D190</f>
        <v>425</v>
      </c>
      <c r="E191" s="16" t="n">
        <f aca="false">E189+E190</f>
        <v>425</v>
      </c>
      <c r="F191" s="16" t="n">
        <f aca="false">F189+F190</f>
        <v>425</v>
      </c>
      <c r="G191" s="16" t="n">
        <f aca="false">G189+G190</f>
        <v>0</v>
      </c>
      <c r="H191" s="16" t="n">
        <f aca="false">H189+H190</f>
        <v>425</v>
      </c>
      <c r="I191" s="16" t="n">
        <f aca="false">I189+I190</f>
        <v>425</v>
      </c>
      <c r="J191" s="16" t="n">
        <f aca="false">J189+J190</f>
        <v>425</v>
      </c>
      <c r="K191" s="16" t="n">
        <f aca="false">K189+K190</f>
        <v>425</v>
      </c>
      <c r="L191" s="16" t="n">
        <f aca="false">L189+L190</f>
        <v>0</v>
      </c>
      <c r="M191" s="16" t="n">
        <f aca="false">M189+M190</f>
        <v>265</v>
      </c>
      <c r="N191" s="16" t="n">
        <f aca="false">N189+N190</f>
        <v>0</v>
      </c>
    </row>
    <row r="192" customFormat="false" ht="15" hidden="false" customHeight="false" outlineLevel="0" collapsed="false">
      <c r="A192" s="6" t="s">
        <v>63</v>
      </c>
      <c r="B192" s="17" t="n">
        <v>45929</v>
      </c>
      <c r="C192" s="17" t="n">
        <v>45959</v>
      </c>
      <c r="D192" s="17" t="n">
        <v>45990</v>
      </c>
      <c r="E192" s="17" t="n">
        <v>46020</v>
      </c>
      <c r="F192" s="17" t="n">
        <v>46051</v>
      </c>
      <c r="G192" s="18" t="s">
        <v>64</v>
      </c>
      <c r="H192" s="17" t="n">
        <v>46082</v>
      </c>
      <c r="I192" s="17" t="n">
        <v>46108</v>
      </c>
      <c r="J192" s="17" t="n">
        <v>46139</v>
      </c>
      <c r="K192" s="17" t="n">
        <v>46169</v>
      </c>
      <c r="L192" s="18" t="s">
        <v>64</v>
      </c>
      <c r="M192" s="17" t="n">
        <v>46216</v>
      </c>
      <c r="N192" s="18" t="s">
        <v>64</v>
      </c>
    </row>
    <row r="193" customFormat="false" ht="15" hidden="false" customHeight="false" outlineLevel="0" collapsed="false">
      <c r="A193" s="6" t="s">
        <v>65</v>
      </c>
      <c r="B193" s="19" t="n">
        <v>0.6</v>
      </c>
      <c r="C193" s="19" t="n">
        <v>0.6</v>
      </c>
      <c r="D193" s="19" t="n">
        <v>0.6</v>
      </c>
      <c r="E193" s="19" t="n">
        <v>0.6</v>
      </c>
      <c r="F193" s="19" t="n">
        <v>0.6</v>
      </c>
      <c r="G193" s="19" t="n">
        <v>0.6</v>
      </c>
      <c r="H193" s="19" t="n">
        <v>0.6</v>
      </c>
      <c r="I193" s="19" t="n">
        <v>0.6</v>
      </c>
      <c r="J193" s="19" t="n">
        <v>0.6</v>
      </c>
      <c r="K193" s="19" t="n">
        <v>0.6</v>
      </c>
      <c r="L193" s="19" t="n">
        <v>0.6</v>
      </c>
      <c r="M193" s="19" t="n">
        <v>0.6</v>
      </c>
      <c r="N193" s="19" t="n">
        <v>0.6</v>
      </c>
    </row>
    <row r="194" customFormat="false" ht="15" hidden="false" customHeight="false" outlineLevel="0" collapsed="false">
      <c r="A194" s="6" t="s">
        <v>66</v>
      </c>
      <c r="B194" s="20" t="n">
        <f aca="false">1-DAY(B192)/DAY(EOMONTH(B192,0))</f>
        <v>0.0333333333333333</v>
      </c>
      <c r="C194" s="20" t="n">
        <f aca="false">1-DAY(C192)/DAY(EOMONTH(C192,0))</f>
        <v>0.0645161290322581</v>
      </c>
      <c r="D194" s="20" t="n">
        <f aca="false">1-DAY(D192)/DAY(EOMONTH(D192,0))</f>
        <v>0.0333333333333333</v>
      </c>
      <c r="E194" s="20" t="n">
        <f aca="false">1-DAY(E192)/DAY(EOMONTH(E192,0))</f>
        <v>0.0645161290322581</v>
      </c>
      <c r="F194" s="20" t="n">
        <f aca="false">1-DAY(F192)/DAY(EOMONTH(F192,0))</f>
        <v>0.0645161290322581</v>
      </c>
      <c r="G194" s="20" t="n">
        <v>0</v>
      </c>
      <c r="H194" s="20" t="n">
        <f aca="false">1-DAY(H192)/DAY(EOMONTH(H192,0))</f>
        <v>0.967741935483871</v>
      </c>
      <c r="I194" s="20" t="n">
        <f aca="false">1-DAY(I192)/DAY(EOMONTH(I192,0))</f>
        <v>0.129032258064516</v>
      </c>
      <c r="J194" s="20" t="n">
        <f aca="false">1-DAY(J192)/DAY(EOMONTH(J192,0))</f>
        <v>0.1</v>
      </c>
      <c r="K194" s="20" t="n">
        <f aca="false">1-DAY(K192)/DAY(EOMONTH(K192,0))</f>
        <v>0.129032258064516</v>
      </c>
      <c r="L194" s="20" t="n">
        <v>0</v>
      </c>
      <c r="M194" s="20" t="n">
        <f aca="false">1-DAY(M192)/DAY(EOMONTH(M192,0))</f>
        <v>0.580645161290323</v>
      </c>
      <c r="N194" s="20" t="n">
        <v>0</v>
      </c>
    </row>
    <row r="195" customFormat="false" ht="15" hidden="false" customHeight="false" outlineLevel="0" collapsed="false">
      <c r="A195" s="4" t="s">
        <v>67</v>
      </c>
      <c r="B195" s="16" t="n">
        <f aca="false">B191*B193*B194</f>
        <v>8.5</v>
      </c>
      <c r="C195" s="16" t="n">
        <f aca="false">C191*C193*C194+(1-B194)*B191*B193</f>
        <v>262.951612903226</v>
      </c>
      <c r="D195" s="16" t="n">
        <f aca="false">D191*D193*D194+(1-C194)*C191*C193</f>
        <v>247.048387096774</v>
      </c>
      <c r="E195" s="16" t="n">
        <f aca="false">E191*E193*E194+(1-D194)*D191*D193</f>
        <v>262.951612903226</v>
      </c>
      <c r="F195" s="16" t="n">
        <f aca="false">F191*F193*F194+(1-E194)*E191*E193</f>
        <v>255</v>
      </c>
      <c r="G195" s="16" t="n">
        <f aca="false">G191*G193*G194+(1-F194)*F191*F193</f>
        <v>238.548387096774</v>
      </c>
      <c r="H195" s="16" t="n">
        <f aca="false">H191*H193*H194+(1-G194)*G191*G193</f>
        <v>246.774193548387</v>
      </c>
      <c r="I195" s="16" t="n">
        <f aca="false">I191*I193*I194+(1-H194)*H191*H193</f>
        <v>41.1290322580645</v>
      </c>
      <c r="J195" s="16" t="n">
        <f aca="false">J191*J193*J194+(1-I194)*I191*I193</f>
        <v>247.596774193548</v>
      </c>
      <c r="K195" s="16" t="n">
        <f aca="false">K191*K193*K194+(1-J194)*J191*J193</f>
        <v>262.403225806452</v>
      </c>
      <c r="L195" s="16" t="n">
        <f aca="false">L191*L193*L194+(1-K194)*K191*K193</f>
        <v>222.096774193548</v>
      </c>
      <c r="M195" s="16" t="n">
        <f aca="false">M191*M193*M194+(1-L194)*L191*L193</f>
        <v>92.3225806451613</v>
      </c>
      <c r="N195" s="16" t="n">
        <f aca="false">N191*N193*N194+(1-M194)*M191*M193</f>
        <v>66.6774193548387</v>
      </c>
      <c r="O195" s="16" t="n">
        <f aca="false">SUM(B195:N195)</f>
        <v>2454</v>
      </c>
    </row>
    <row r="196" customFormat="false" ht="15" hidden="false" customHeight="false" outlineLevel="0" collapsed="false">
      <c r="A196" s="21" t="s">
        <v>68</v>
      </c>
      <c r="B196" s="22" t="n">
        <f aca="false">B191*B193</f>
        <v>255</v>
      </c>
      <c r="C196" s="22" t="n">
        <f aca="false">C191*C193</f>
        <v>255</v>
      </c>
      <c r="D196" s="22" t="n">
        <f aca="false">D191*D193</f>
        <v>255</v>
      </c>
      <c r="E196" s="22" t="n">
        <f aca="false">E191*E193</f>
        <v>255</v>
      </c>
      <c r="F196" s="22" t="n">
        <f aca="false">F191*F193</f>
        <v>255</v>
      </c>
      <c r="G196" s="22" t="n">
        <f aca="false">G191*G193</f>
        <v>0</v>
      </c>
      <c r="H196" s="22" t="n">
        <f aca="false">H191*H193</f>
        <v>255</v>
      </c>
      <c r="I196" s="22" t="n">
        <f aca="false">I191*I193</f>
        <v>255</v>
      </c>
      <c r="J196" s="22" t="n">
        <f aca="false">J191*J193</f>
        <v>255</v>
      </c>
      <c r="K196" s="22" t="n">
        <f aca="false">K191*K193</f>
        <v>255</v>
      </c>
      <c r="L196" s="22" t="n">
        <f aca="false">L191*L193</f>
        <v>0</v>
      </c>
      <c r="M196" s="22" t="n">
        <f aca="false">M191*M193</f>
        <v>159</v>
      </c>
      <c r="N196" s="22" t="n">
        <f aca="false">N191*N193</f>
        <v>0</v>
      </c>
      <c r="O196" s="24" t="n">
        <f aca="false">SUM(B196:N196)</f>
        <v>2454</v>
      </c>
      <c r="P196" s="24" t="n">
        <f aca="false">O196-O195</f>
        <v>0</v>
      </c>
    </row>
    <row r="199" customFormat="false" ht="15" hidden="false" customHeight="false" outlineLevel="0" collapsed="false">
      <c r="A199" s="8" t="s">
        <v>116</v>
      </c>
      <c r="B199" s="9" t="s">
        <v>117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customFormat="false" ht="15" hidden="false" customHeight="false" outlineLevel="0" collapsed="false">
      <c r="A200" s="6" t="s">
        <v>47</v>
      </c>
      <c r="B200" s="11" t="s">
        <v>103</v>
      </c>
      <c r="C200" s="11" t="s">
        <v>104</v>
      </c>
      <c r="D200" s="11" t="s">
        <v>105</v>
      </c>
      <c r="E200" s="11" t="s">
        <v>106</v>
      </c>
      <c r="F200" s="11" t="s">
        <v>107</v>
      </c>
      <c r="O200" s="4" t="s">
        <v>56</v>
      </c>
      <c r="P200" s="4" t="s">
        <v>57</v>
      </c>
    </row>
    <row r="201" customFormat="false" ht="15" hidden="false" customHeight="false" outlineLevel="0" collapsed="false">
      <c r="A201" s="6" t="s">
        <v>58</v>
      </c>
      <c r="B201" s="12" t="n">
        <v>3424</v>
      </c>
      <c r="C201" s="12" t="n">
        <v>3459</v>
      </c>
      <c r="D201" s="12" t="n">
        <v>3496</v>
      </c>
      <c r="E201" s="12" t="n">
        <v>3537</v>
      </c>
      <c r="F201" s="13" t="s">
        <v>59</v>
      </c>
    </row>
    <row r="202" customFormat="false" ht="15" hidden="false" customHeight="false" outlineLevel="0" collapsed="false">
      <c r="A202" s="6" t="s">
        <v>60</v>
      </c>
      <c r="B202" s="14" t="n">
        <v>425</v>
      </c>
      <c r="C202" s="14" t="n">
        <v>425</v>
      </c>
      <c r="D202" s="14" t="n">
        <v>425</v>
      </c>
      <c r="E202" s="14" t="n">
        <v>425</v>
      </c>
      <c r="F202" s="14" t="n">
        <v>0</v>
      </c>
    </row>
    <row r="203" customFormat="false" ht="15" hidden="false" customHeight="false" outlineLevel="0" collapsed="false">
      <c r="A203" s="6" t="s">
        <v>61</v>
      </c>
      <c r="B203" s="15" t="n">
        <v>0</v>
      </c>
      <c r="C203" s="15" t="n">
        <v>0</v>
      </c>
      <c r="D203" s="15" t="n">
        <v>0</v>
      </c>
      <c r="E203" s="15" t="n">
        <v>0</v>
      </c>
      <c r="F203" s="15" t="n">
        <v>0</v>
      </c>
    </row>
    <row r="204" customFormat="false" ht="15" hidden="false" customHeight="false" outlineLevel="0" collapsed="false">
      <c r="A204" s="4" t="s">
        <v>62</v>
      </c>
      <c r="B204" s="16" t="n">
        <f aca="false">B202+B203</f>
        <v>425</v>
      </c>
      <c r="C204" s="16" t="n">
        <f aca="false">C202+C203</f>
        <v>425</v>
      </c>
      <c r="D204" s="16" t="n">
        <f aca="false">D202+D203</f>
        <v>425</v>
      </c>
      <c r="E204" s="16" t="n">
        <f aca="false">E202+E203</f>
        <v>425</v>
      </c>
      <c r="F204" s="16" t="n">
        <f aca="false">F202+F203</f>
        <v>0</v>
      </c>
    </row>
    <row r="205" customFormat="false" ht="15" hidden="false" customHeight="false" outlineLevel="0" collapsed="false">
      <c r="A205" s="6" t="s">
        <v>63</v>
      </c>
      <c r="B205" s="17" t="n">
        <v>45753</v>
      </c>
      <c r="C205" s="17" t="n">
        <v>45783</v>
      </c>
      <c r="D205" s="17" t="n">
        <v>45814</v>
      </c>
      <c r="E205" s="17" t="n">
        <v>45844</v>
      </c>
      <c r="F205" s="18" t="s">
        <v>64</v>
      </c>
    </row>
    <row r="206" customFormat="false" ht="15" hidden="false" customHeight="false" outlineLevel="0" collapsed="false">
      <c r="A206" s="6" t="s">
        <v>65</v>
      </c>
      <c r="B206" s="19" t="n">
        <v>0.6</v>
      </c>
      <c r="C206" s="19" t="n">
        <v>0.6</v>
      </c>
      <c r="D206" s="19" t="n">
        <v>0.6</v>
      </c>
      <c r="E206" s="19" t="n">
        <v>0.6</v>
      </c>
      <c r="F206" s="19" t="n">
        <v>0.6</v>
      </c>
    </row>
    <row r="207" customFormat="false" ht="15" hidden="false" customHeight="false" outlineLevel="0" collapsed="false">
      <c r="A207" s="6" t="s">
        <v>66</v>
      </c>
      <c r="B207" s="20" t="n">
        <f aca="false">1-DAY(B205)/DAY(EOMONTH(B205,0))</f>
        <v>0.8</v>
      </c>
      <c r="C207" s="20" t="n">
        <f aca="false">1-DAY(C205)/DAY(EOMONTH(C205,0))</f>
        <v>0.806451612903226</v>
      </c>
      <c r="D207" s="20" t="n">
        <f aca="false">1-DAY(D205)/DAY(EOMONTH(D205,0))</f>
        <v>0.8</v>
      </c>
      <c r="E207" s="20" t="n">
        <f aca="false">1-DAY(E205)/DAY(EOMONTH(E205,0))</f>
        <v>0.806451612903226</v>
      </c>
      <c r="F207" s="20" t="n">
        <v>0</v>
      </c>
    </row>
    <row r="208" customFormat="false" ht="15" hidden="false" customHeight="false" outlineLevel="0" collapsed="false">
      <c r="A208" s="4" t="s">
        <v>67</v>
      </c>
      <c r="B208" s="16" t="n">
        <f aca="false">B204*B206*B207</f>
        <v>204</v>
      </c>
      <c r="C208" s="16" t="n">
        <f aca="false">C204*C206*C207+(1-B207)*B204*B206</f>
        <v>256.645161290323</v>
      </c>
      <c r="D208" s="16" t="n">
        <f aca="false">D204*D206*D207+(1-C207)*C204*C206</f>
        <v>253.354838709677</v>
      </c>
      <c r="E208" s="16" t="n">
        <f aca="false">E204*E206*E207+(1-D207)*D204*D206</f>
        <v>256.645161290323</v>
      </c>
      <c r="F208" s="16" t="n">
        <f aca="false">F204*F206*F207+(1-E207)*E204*E206</f>
        <v>49.3548387096774</v>
      </c>
      <c r="O208" s="16" t="n">
        <f aca="false">SUM(B208:F208)</f>
        <v>1020</v>
      </c>
    </row>
    <row r="209" customFormat="false" ht="15" hidden="false" customHeight="false" outlineLevel="0" collapsed="false">
      <c r="A209" s="21" t="s">
        <v>68</v>
      </c>
      <c r="B209" s="22" t="n">
        <f aca="false">B204*B206</f>
        <v>255</v>
      </c>
      <c r="C209" s="22" t="n">
        <f aca="false">C204*C206</f>
        <v>255</v>
      </c>
      <c r="D209" s="22" t="n">
        <f aca="false">D204*D206</f>
        <v>255</v>
      </c>
      <c r="E209" s="22" t="n">
        <f aca="false">E204*E206</f>
        <v>255</v>
      </c>
      <c r="F209" s="22" t="n">
        <f aca="false">F204*F206</f>
        <v>0</v>
      </c>
      <c r="G209" s="23"/>
      <c r="H209" s="23"/>
      <c r="I209" s="23"/>
      <c r="J209" s="23"/>
      <c r="K209" s="23"/>
      <c r="L209" s="23"/>
      <c r="M209" s="23"/>
      <c r="N209" s="23"/>
      <c r="O209" s="24" t="n">
        <f aca="false">SUM(B209:F209)</f>
        <v>1020</v>
      </c>
      <c r="P209" s="24" t="n">
        <f aca="false">O209-O208</f>
        <v>0</v>
      </c>
    </row>
    <row r="212" customFormat="false" ht="15" hidden="false" customHeight="false" outlineLevel="0" collapsed="false">
      <c r="A212" s="8" t="s">
        <v>118</v>
      </c>
      <c r="B212" s="9" t="s">
        <v>119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customFormat="false" ht="15" hidden="false" customHeight="false" outlineLevel="0" collapsed="false">
      <c r="A213" s="6" t="s">
        <v>47</v>
      </c>
      <c r="B213" s="11" t="s">
        <v>53</v>
      </c>
      <c r="C213" s="11" t="s">
        <v>54</v>
      </c>
      <c r="D213" s="11" t="s">
        <v>55</v>
      </c>
      <c r="E213" s="11" t="s">
        <v>82</v>
      </c>
      <c r="O213" s="4" t="s">
        <v>56</v>
      </c>
      <c r="P213" s="4" t="s">
        <v>57</v>
      </c>
    </row>
    <row r="214" customFormat="false" ht="15" hidden="false" customHeight="false" outlineLevel="0" collapsed="false">
      <c r="A214" s="6" t="s">
        <v>58</v>
      </c>
      <c r="B214" s="12" t="n">
        <v>4109</v>
      </c>
      <c r="C214" s="12" t="n">
        <v>4147</v>
      </c>
      <c r="D214" s="12" t="n">
        <v>4209</v>
      </c>
      <c r="E214" s="13" t="s">
        <v>59</v>
      </c>
    </row>
    <row r="215" customFormat="false" ht="15" hidden="false" customHeight="false" outlineLevel="0" collapsed="false">
      <c r="A215" s="6" t="s">
        <v>60</v>
      </c>
      <c r="B215" s="14" t="n">
        <v>425</v>
      </c>
      <c r="C215" s="14" t="n">
        <v>425</v>
      </c>
      <c r="D215" s="14" t="n">
        <v>425</v>
      </c>
      <c r="E215" s="14" t="n">
        <v>0</v>
      </c>
    </row>
    <row r="216" customFormat="false" ht="15" hidden="false" customHeight="false" outlineLevel="0" collapsed="false">
      <c r="A216" s="6" t="s">
        <v>61</v>
      </c>
      <c r="B216" s="26" t="n">
        <f aca="false">SUMIF(Adjustments!$C$5:$C$14,B214,Adjustments!$H$5:$H$14)</f>
        <v>0</v>
      </c>
      <c r="C216" s="15" t="n">
        <v>0</v>
      </c>
      <c r="D216" s="15" t="n">
        <v>0</v>
      </c>
      <c r="E216" s="15" t="n">
        <v>0</v>
      </c>
    </row>
    <row r="217" customFormat="false" ht="15" hidden="false" customHeight="false" outlineLevel="0" collapsed="false">
      <c r="A217" s="4" t="s">
        <v>62</v>
      </c>
      <c r="B217" s="16" t="n">
        <f aca="false">B215+B216</f>
        <v>425</v>
      </c>
      <c r="C217" s="16" t="n">
        <f aca="false">C215+C216</f>
        <v>425</v>
      </c>
      <c r="D217" s="16" t="n">
        <f aca="false">D215+D216</f>
        <v>425</v>
      </c>
      <c r="E217" s="16" t="n">
        <f aca="false">E215+E216</f>
        <v>0</v>
      </c>
    </row>
    <row r="218" customFormat="false" ht="15" hidden="false" customHeight="false" outlineLevel="0" collapsed="false">
      <c r="A218" s="6" t="s">
        <v>63</v>
      </c>
      <c r="B218" s="17" t="n">
        <v>46153</v>
      </c>
      <c r="C218" s="17" t="n">
        <v>46183</v>
      </c>
      <c r="D218" s="17" t="n">
        <v>46213</v>
      </c>
      <c r="E218" s="18" t="s">
        <v>64</v>
      </c>
    </row>
    <row r="219" customFormat="false" ht="15" hidden="false" customHeight="false" outlineLevel="0" collapsed="false">
      <c r="A219" s="6" t="s">
        <v>65</v>
      </c>
      <c r="B219" s="19" t="n">
        <v>0.6</v>
      </c>
      <c r="C219" s="19" t="n">
        <v>0.6</v>
      </c>
      <c r="D219" s="19" t="n">
        <v>0.6</v>
      </c>
      <c r="E219" s="19" t="n">
        <v>0.6</v>
      </c>
    </row>
    <row r="220" customFormat="false" ht="15" hidden="false" customHeight="false" outlineLevel="0" collapsed="false">
      <c r="A220" s="6" t="s">
        <v>66</v>
      </c>
      <c r="B220" s="20" t="n">
        <f aca="false">1-DAY(B218)/DAY(EOMONTH(B218,0))</f>
        <v>0.645161290322581</v>
      </c>
      <c r="C220" s="20" t="n">
        <f aca="false">1-DAY(C218)/DAY(EOMONTH(C218,0))</f>
        <v>0.666666666666667</v>
      </c>
      <c r="D220" s="20" t="n">
        <f aca="false">1-DAY(D218)/DAY(EOMONTH(D218,0))</f>
        <v>0.67741935483871</v>
      </c>
      <c r="E220" s="20" t="n">
        <v>0</v>
      </c>
    </row>
    <row r="221" customFormat="false" ht="15" hidden="false" customHeight="false" outlineLevel="0" collapsed="false">
      <c r="A221" s="4" t="s">
        <v>67</v>
      </c>
      <c r="B221" s="16" t="n">
        <f aca="false">B217*B219*B220</f>
        <v>164.516129032258</v>
      </c>
      <c r="C221" s="16" t="n">
        <f aca="false">C217*C219*C220+(1-B220)*B217*B219</f>
        <v>260.483870967742</v>
      </c>
      <c r="D221" s="16" t="n">
        <f aca="false">D217*D219*D220+(1-C220)*C217*C219</f>
        <v>257.741935483871</v>
      </c>
      <c r="E221" s="16" t="n">
        <f aca="false">E217*E219*E220+(1-D220)*D217*D219</f>
        <v>82.258064516129</v>
      </c>
      <c r="O221" s="16" t="n">
        <f aca="false">SUM(B221:E221)</f>
        <v>765</v>
      </c>
    </row>
    <row r="222" customFormat="false" ht="15" hidden="false" customHeight="false" outlineLevel="0" collapsed="false">
      <c r="A222" s="21" t="s">
        <v>68</v>
      </c>
      <c r="B222" s="22" t="n">
        <f aca="false">B217*B219</f>
        <v>255</v>
      </c>
      <c r="C222" s="22" t="n">
        <f aca="false">C217*C219</f>
        <v>255</v>
      </c>
      <c r="D222" s="22" t="n">
        <f aca="false">D217*D219</f>
        <v>255</v>
      </c>
      <c r="E222" s="22" t="n">
        <f aca="false">E217*E219</f>
        <v>0</v>
      </c>
      <c r="F222" s="23"/>
      <c r="G222" s="23"/>
      <c r="H222" s="23"/>
      <c r="I222" s="23"/>
      <c r="J222" s="23"/>
      <c r="K222" s="23"/>
      <c r="L222" s="23"/>
      <c r="M222" s="23"/>
      <c r="N222" s="23"/>
      <c r="O222" s="24" t="n">
        <f aca="false">SUM(B222:E222)</f>
        <v>765</v>
      </c>
      <c r="P222" s="24" t="n">
        <f aca="false">O222-O221</f>
        <v>0</v>
      </c>
    </row>
    <row r="225" customFormat="false" ht="15" hidden="false" customHeight="false" outlineLevel="0" collapsed="false">
      <c r="A225" s="8" t="s">
        <v>120</v>
      </c>
      <c r="B225" s="9" t="s">
        <v>121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customFormat="false" ht="15" hidden="false" customHeight="false" outlineLevel="0" collapsed="false">
      <c r="A226" s="6" t="s">
        <v>47</v>
      </c>
      <c r="B226" s="11" t="s">
        <v>53</v>
      </c>
      <c r="C226" s="11" t="s">
        <v>54</v>
      </c>
      <c r="D226" s="11" t="s">
        <v>55</v>
      </c>
      <c r="E226" s="11" t="s">
        <v>82</v>
      </c>
      <c r="O226" s="4" t="s">
        <v>56</v>
      </c>
      <c r="P226" s="4" t="s">
        <v>57</v>
      </c>
    </row>
    <row r="227" customFormat="false" ht="15" hidden="false" customHeight="false" outlineLevel="0" collapsed="false">
      <c r="A227" s="6" t="s">
        <v>58</v>
      </c>
      <c r="B227" s="12" t="n">
        <v>4083</v>
      </c>
      <c r="C227" s="12" t="n">
        <v>4150</v>
      </c>
      <c r="D227" s="12" t="n">
        <v>4214</v>
      </c>
      <c r="E227" s="13" t="s">
        <v>59</v>
      </c>
    </row>
    <row r="228" customFormat="false" ht="15" hidden="false" customHeight="false" outlineLevel="0" collapsed="false">
      <c r="A228" s="6" t="s">
        <v>60</v>
      </c>
      <c r="B228" s="14" t="n">
        <v>425</v>
      </c>
      <c r="C228" s="14" t="n">
        <v>425</v>
      </c>
      <c r="D228" s="14" t="n">
        <v>425</v>
      </c>
      <c r="E228" s="14" t="n">
        <v>0</v>
      </c>
    </row>
    <row r="229" customFormat="false" ht="15" hidden="false" customHeight="false" outlineLevel="0" collapsed="false">
      <c r="A229" s="6" t="s">
        <v>61</v>
      </c>
      <c r="B229" s="26" t="n">
        <f aca="false">SUMIF(Adjustments!$C$5:$C$14,B227,Adjustments!$H$5:$H$14)</f>
        <v>0</v>
      </c>
      <c r="C229" s="15" t="n">
        <v>0</v>
      </c>
      <c r="D229" s="15" t="n">
        <v>0</v>
      </c>
      <c r="E229" s="15" t="n">
        <v>0</v>
      </c>
    </row>
    <row r="230" customFormat="false" ht="15" hidden="false" customHeight="false" outlineLevel="0" collapsed="false">
      <c r="A230" s="4" t="s">
        <v>62</v>
      </c>
      <c r="B230" s="16" t="n">
        <f aca="false">B228+B229</f>
        <v>425</v>
      </c>
      <c r="C230" s="16" t="n">
        <f aca="false">C228+C229</f>
        <v>425</v>
      </c>
      <c r="D230" s="16" t="n">
        <f aca="false">D228+D229</f>
        <v>425</v>
      </c>
      <c r="E230" s="16" t="n">
        <f aca="false">E228+E229</f>
        <v>0</v>
      </c>
    </row>
    <row r="231" customFormat="false" ht="15" hidden="false" customHeight="false" outlineLevel="0" collapsed="false">
      <c r="A231" s="6" t="s">
        <v>63</v>
      </c>
      <c r="B231" s="17" t="n">
        <v>46155</v>
      </c>
      <c r="C231" s="17" t="n">
        <v>46185</v>
      </c>
      <c r="D231" s="17" t="n">
        <v>46215</v>
      </c>
      <c r="E231" s="18" t="s">
        <v>64</v>
      </c>
    </row>
    <row r="232" customFormat="false" ht="15" hidden="false" customHeight="false" outlineLevel="0" collapsed="false">
      <c r="A232" s="6" t="s">
        <v>65</v>
      </c>
      <c r="B232" s="19" t="n">
        <v>0.6</v>
      </c>
      <c r="C232" s="19" t="n">
        <v>0.6</v>
      </c>
      <c r="D232" s="19" t="n">
        <v>0.6</v>
      </c>
      <c r="E232" s="19" t="n">
        <v>0.6</v>
      </c>
    </row>
    <row r="233" customFormat="false" ht="15" hidden="false" customHeight="false" outlineLevel="0" collapsed="false">
      <c r="A233" s="6" t="s">
        <v>66</v>
      </c>
      <c r="B233" s="20" t="n">
        <f aca="false">1-DAY(B231)/DAY(EOMONTH(B231,0))</f>
        <v>0.580645161290323</v>
      </c>
      <c r="C233" s="20" t="n">
        <f aca="false">1-DAY(C231)/DAY(EOMONTH(C231,0))</f>
        <v>0.6</v>
      </c>
      <c r="D233" s="20" t="n">
        <f aca="false">1-DAY(D231)/DAY(EOMONTH(D231,0))</f>
        <v>0.612903225806452</v>
      </c>
      <c r="E233" s="20" t="n">
        <v>0</v>
      </c>
    </row>
    <row r="234" customFormat="false" ht="15" hidden="false" customHeight="false" outlineLevel="0" collapsed="false">
      <c r="A234" s="4" t="s">
        <v>67</v>
      </c>
      <c r="B234" s="16" t="n">
        <f aca="false">B230*B232*B233</f>
        <v>148.064516129032</v>
      </c>
      <c r="C234" s="16" t="n">
        <f aca="false">C230*C232*C233+(1-B233)*B230*B232</f>
        <v>259.935483870968</v>
      </c>
      <c r="D234" s="16" t="n">
        <f aca="false">D230*D232*D233+(1-C233)*C230*C232</f>
        <v>258.290322580645</v>
      </c>
      <c r="E234" s="16" t="n">
        <f aca="false">E230*E232*E233+(1-D233)*D230*D232</f>
        <v>98.7096774193548</v>
      </c>
      <c r="O234" s="16" t="n">
        <f aca="false">SUM(B234:E234)</f>
        <v>765</v>
      </c>
    </row>
    <row r="235" customFormat="false" ht="15" hidden="false" customHeight="false" outlineLevel="0" collapsed="false">
      <c r="A235" s="21" t="s">
        <v>68</v>
      </c>
      <c r="B235" s="22" t="n">
        <f aca="false">B230*B232</f>
        <v>255</v>
      </c>
      <c r="C235" s="22" t="n">
        <f aca="false">C230*C232</f>
        <v>255</v>
      </c>
      <c r="D235" s="22" t="n">
        <f aca="false">D230*D232</f>
        <v>255</v>
      </c>
      <c r="E235" s="22" t="n">
        <f aca="false">E230*E232</f>
        <v>0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4" t="n">
        <f aca="false">SUM(B235:E235)</f>
        <v>765</v>
      </c>
      <c r="P235" s="24" t="n">
        <f aca="false">O235-O234</f>
        <v>0</v>
      </c>
    </row>
    <row r="238" customFormat="false" ht="15" hidden="false" customHeight="false" outlineLevel="0" collapsed="false">
      <c r="A238" s="8" t="s">
        <v>122</v>
      </c>
      <c r="B238" s="9" t="s">
        <v>123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customFormat="false" ht="15" hidden="false" customHeight="false" outlineLevel="0" collapsed="false">
      <c r="A239" s="6" t="s">
        <v>47</v>
      </c>
      <c r="B239" s="11" t="s">
        <v>104</v>
      </c>
      <c r="C239" s="11" t="s">
        <v>104</v>
      </c>
      <c r="D239" s="11" t="s">
        <v>105</v>
      </c>
      <c r="E239" s="11" t="s">
        <v>106</v>
      </c>
      <c r="F239" s="11" t="s">
        <v>107</v>
      </c>
      <c r="G239" s="11" t="s">
        <v>87</v>
      </c>
      <c r="H239" s="11" t="s">
        <v>80</v>
      </c>
      <c r="I239" s="11" t="s">
        <v>81</v>
      </c>
      <c r="J239" s="11" t="s">
        <v>48</v>
      </c>
      <c r="O239" s="4" t="s">
        <v>56</v>
      </c>
      <c r="P239" s="4" t="s">
        <v>57</v>
      </c>
    </row>
    <row r="240" customFormat="false" ht="15" hidden="false" customHeight="false" outlineLevel="0" collapsed="false">
      <c r="A240" s="6" t="s">
        <v>58</v>
      </c>
      <c r="B240" s="12" t="n">
        <v>3451</v>
      </c>
      <c r="C240" s="12" t="n">
        <v>3483</v>
      </c>
      <c r="D240" s="12" t="n">
        <v>3520</v>
      </c>
      <c r="E240" s="12" t="n">
        <v>3570</v>
      </c>
      <c r="F240" s="12" t="n">
        <v>3627</v>
      </c>
      <c r="G240" s="12" t="n">
        <v>3679</v>
      </c>
      <c r="H240" s="12" t="n">
        <v>3732</v>
      </c>
      <c r="I240" s="12" t="n">
        <v>3786</v>
      </c>
      <c r="J240" s="13" t="s">
        <v>59</v>
      </c>
    </row>
    <row r="241" customFormat="false" ht="15" hidden="false" customHeight="false" outlineLevel="0" collapsed="false">
      <c r="A241" s="6" t="s">
        <v>60</v>
      </c>
      <c r="B241" s="25" t="n">
        <v>425</v>
      </c>
      <c r="C241" s="25" t="n">
        <v>425</v>
      </c>
      <c r="D241" s="14" t="n">
        <v>265</v>
      </c>
      <c r="E241" s="14" t="n">
        <v>265</v>
      </c>
      <c r="F241" s="14" t="n">
        <v>265</v>
      </c>
      <c r="G241" s="14" t="n">
        <v>145</v>
      </c>
      <c r="H241" s="14" t="n">
        <v>145</v>
      </c>
      <c r="I241" s="14" t="n">
        <v>145</v>
      </c>
      <c r="J241" s="14" t="n">
        <v>0</v>
      </c>
    </row>
    <row r="242" customFormat="false" ht="15" hidden="false" customHeight="false" outlineLevel="0" collapsed="false">
      <c r="A242" s="6" t="s">
        <v>61</v>
      </c>
      <c r="B242" s="15" t="n">
        <v>0</v>
      </c>
      <c r="C242" s="15" t="n">
        <v>0</v>
      </c>
      <c r="D242" s="15" t="n">
        <v>0</v>
      </c>
      <c r="E242" s="15" t="n">
        <v>0</v>
      </c>
      <c r="F242" s="15" t="n">
        <v>0</v>
      </c>
      <c r="G242" s="15" t="n">
        <v>0</v>
      </c>
      <c r="H242" s="15" t="n">
        <v>0</v>
      </c>
      <c r="I242" s="15" t="n">
        <v>0</v>
      </c>
      <c r="J242" s="15" t="n">
        <v>0</v>
      </c>
    </row>
    <row r="243" customFormat="false" ht="15" hidden="false" customHeight="false" outlineLevel="0" collapsed="false">
      <c r="A243" s="4" t="s">
        <v>62</v>
      </c>
      <c r="B243" s="16" t="n">
        <f aca="false">B241+B242</f>
        <v>425</v>
      </c>
      <c r="C243" s="16" t="n">
        <f aca="false">C241+C242</f>
        <v>425</v>
      </c>
      <c r="D243" s="16" t="n">
        <f aca="false">D241+D242</f>
        <v>265</v>
      </c>
      <c r="E243" s="16" t="n">
        <f aca="false">E241+E242</f>
        <v>265</v>
      </c>
      <c r="F243" s="16" t="n">
        <f aca="false">F241+F242</f>
        <v>265</v>
      </c>
      <c r="G243" s="16" t="n">
        <f aca="false">G241+G242</f>
        <v>145</v>
      </c>
      <c r="H243" s="16" t="n">
        <f aca="false">H241+H242</f>
        <v>145</v>
      </c>
      <c r="I243" s="16" t="n">
        <f aca="false">I241+I242</f>
        <v>145</v>
      </c>
      <c r="J243" s="16" t="n">
        <f aca="false">J241+J242</f>
        <v>0</v>
      </c>
    </row>
    <row r="244" customFormat="false" ht="15" hidden="false" customHeight="false" outlineLevel="0" collapsed="false">
      <c r="A244" s="6" t="s">
        <v>63</v>
      </c>
      <c r="B244" s="17" t="n">
        <v>45778</v>
      </c>
      <c r="C244" s="17" t="n">
        <v>45808</v>
      </c>
      <c r="D244" s="17" t="n">
        <v>45837</v>
      </c>
      <c r="E244" s="17" t="n">
        <v>45867</v>
      </c>
      <c r="F244" s="17" t="n">
        <v>45898</v>
      </c>
      <c r="G244" s="17" t="n">
        <v>45929</v>
      </c>
      <c r="H244" s="17" t="n">
        <v>45959</v>
      </c>
      <c r="I244" s="17" t="n">
        <v>45990</v>
      </c>
      <c r="J244" s="18" t="s">
        <v>64</v>
      </c>
    </row>
    <row r="245" customFormat="false" ht="15" hidden="false" customHeight="false" outlineLevel="0" collapsed="false">
      <c r="A245" s="6" t="s">
        <v>65</v>
      </c>
      <c r="B245" s="19" t="n">
        <v>0.6</v>
      </c>
      <c r="C245" s="19" t="n">
        <v>0.6</v>
      </c>
      <c r="D245" s="19" t="n">
        <v>0.6</v>
      </c>
      <c r="E245" s="19" t="n">
        <v>0.6</v>
      </c>
      <c r="F245" s="19" t="n">
        <v>0.6</v>
      </c>
      <c r="G245" s="19" t="n">
        <v>0.6</v>
      </c>
      <c r="H245" s="19" t="n">
        <v>0.6</v>
      </c>
      <c r="I245" s="19" t="n">
        <v>0.6</v>
      </c>
      <c r="J245" s="19" t="n">
        <v>0.6</v>
      </c>
    </row>
    <row r="246" customFormat="false" ht="15" hidden="false" customHeight="false" outlineLevel="0" collapsed="false">
      <c r="A246" s="6" t="s">
        <v>66</v>
      </c>
      <c r="B246" s="20" t="n">
        <f aca="false">1-DAY(B244)/DAY(EOMONTH(B244,0))</f>
        <v>0.967741935483871</v>
      </c>
      <c r="C246" s="20" t="n">
        <f aca="false">1-DAY(C244)/DAY(EOMONTH(C244,0))</f>
        <v>0</v>
      </c>
      <c r="D246" s="20" t="n">
        <f aca="false">1-DAY(D244)/DAY(EOMONTH(D244,0))</f>
        <v>0.0333333333333333</v>
      </c>
      <c r="E246" s="20" t="n">
        <f aca="false">1-DAY(E244)/DAY(EOMONTH(E244,0))</f>
        <v>0.0645161290322581</v>
      </c>
      <c r="F246" s="20" t="n">
        <f aca="false">1-DAY(F244)/DAY(EOMONTH(F244,0))</f>
        <v>0.0645161290322581</v>
      </c>
      <c r="G246" s="20" t="n">
        <f aca="false">1-DAY(G244)/DAY(EOMONTH(G244,0))</f>
        <v>0.0333333333333333</v>
      </c>
      <c r="H246" s="20" t="n">
        <f aca="false">1-DAY(H244)/DAY(EOMONTH(H244,0))</f>
        <v>0.0645161290322581</v>
      </c>
      <c r="I246" s="20" t="n">
        <f aca="false">1-DAY(I244)/DAY(EOMONTH(I244,0))</f>
        <v>0.0333333333333333</v>
      </c>
      <c r="J246" s="20" t="n">
        <v>0</v>
      </c>
    </row>
    <row r="247" customFormat="false" ht="15" hidden="false" customHeight="false" outlineLevel="0" collapsed="false">
      <c r="A247" s="4" t="s">
        <v>67</v>
      </c>
      <c r="B247" s="16" t="n">
        <f aca="false">B243*B245*B246</f>
        <v>246.774193548387</v>
      </c>
      <c r="C247" s="16" t="n">
        <f aca="false">C243*C245*C246+(1-B246)*B243*B245</f>
        <v>8.2258064516129</v>
      </c>
      <c r="D247" s="16" t="n">
        <f aca="false">D243*D245*D246+(1-C246)*C243*C245</f>
        <v>260.3</v>
      </c>
      <c r="E247" s="16" t="n">
        <f aca="false">E243*E245*E246+(1-D246)*D243*D245</f>
        <v>163.958064516129</v>
      </c>
      <c r="F247" s="16" t="n">
        <f aca="false">F243*F245*F246+(1-E246)*E243*E245</f>
        <v>159</v>
      </c>
      <c r="G247" s="16" t="n">
        <f aca="false">G243*G245*G246+(1-F246)*F243*F245</f>
        <v>151.641935483871</v>
      </c>
      <c r="H247" s="16" t="n">
        <f aca="false">H243*H245*H246+(1-G246)*G243*G245</f>
        <v>89.7129032258065</v>
      </c>
      <c r="I247" s="16" t="n">
        <f aca="false">I243*I245*I246+(1-H246)*H243*H245</f>
        <v>84.2870967741935</v>
      </c>
      <c r="J247" s="16" t="n">
        <f aca="false">J243*J245*J246+(1-I246)*I243*I245</f>
        <v>84.1</v>
      </c>
      <c r="O247" s="16" t="n">
        <f aca="false">SUM(B247:J247)</f>
        <v>1248</v>
      </c>
    </row>
    <row r="248" customFormat="false" ht="15" hidden="false" customHeight="false" outlineLevel="0" collapsed="false">
      <c r="A248" s="21" t="s">
        <v>68</v>
      </c>
      <c r="B248" s="22" t="n">
        <f aca="false">B243*B245</f>
        <v>255</v>
      </c>
      <c r="C248" s="22" t="n">
        <f aca="false">C243*C245</f>
        <v>255</v>
      </c>
      <c r="D248" s="22" t="n">
        <f aca="false">D243*D245</f>
        <v>159</v>
      </c>
      <c r="E248" s="22" t="n">
        <f aca="false">E243*E245</f>
        <v>159</v>
      </c>
      <c r="F248" s="22" t="n">
        <f aca="false">F243*F245</f>
        <v>159</v>
      </c>
      <c r="G248" s="22" t="n">
        <f aca="false">G243*G245</f>
        <v>87</v>
      </c>
      <c r="H248" s="22" t="n">
        <f aca="false">H243*H245</f>
        <v>87</v>
      </c>
      <c r="I248" s="22" t="n">
        <f aca="false">I243*I245</f>
        <v>87</v>
      </c>
      <c r="J248" s="22" t="n">
        <f aca="false">J243*J245</f>
        <v>0</v>
      </c>
      <c r="K248" s="23"/>
      <c r="L248" s="23"/>
      <c r="M248" s="23"/>
      <c r="N248" s="23"/>
      <c r="O248" s="24" t="n">
        <f aca="false">SUM(B248:J248)</f>
        <v>1248</v>
      </c>
      <c r="P248" s="24" t="n">
        <f aca="false">O248-O247</f>
        <v>0</v>
      </c>
    </row>
    <row r="251" customFormat="false" ht="15" hidden="false" customHeight="false" outlineLevel="0" collapsed="false">
      <c r="A251" s="8" t="s">
        <v>124</v>
      </c>
      <c r="B251" s="9" t="s">
        <v>125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customFormat="false" ht="15" hidden="false" customHeight="false" outlineLevel="0" collapsed="false">
      <c r="A252" s="6" t="s">
        <v>47</v>
      </c>
      <c r="B252" s="11" t="s">
        <v>107</v>
      </c>
      <c r="C252" s="11" t="s">
        <v>87</v>
      </c>
      <c r="D252" s="11" t="s">
        <v>80</v>
      </c>
      <c r="E252" s="11" t="s">
        <v>81</v>
      </c>
      <c r="F252" s="11" t="s">
        <v>48</v>
      </c>
      <c r="G252" s="11" t="s">
        <v>49</v>
      </c>
      <c r="H252" s="11" t="s">
        <v>50</v>
      </c>
      <c r="I252" s="11" t="s">
        <v>50</v>
      </c>
      <c r="J252" s="11" t="s">
        <v>51</v>
      </c>
      <c r="K252" s="11" t="s">
        <v>52</v>
      </c>
      <c r="L252" s="11" t="s">
        <v>53</v>
      </c>
      <c r="M252" s="11" t="s">
        <v>54</v>
      </c>
      <c r="O252" s="4" t="s">
        <v>56</v>
      </c>
      <c r="P252" s="4" t="s">
        <v>57</v>
      </c>
    </row>
    <row r="253" customFormat="false" ht="15" hidden="false" customHeight="false" outlineLevel="0" collapsed="false">
      <c r="A253" s="6" t="s">
        <v>58</v>
      </c>
      <c r="B253" s="12" t="n">
        <v>3583</v>
      </c>
      <c r="C253" s="12" t="n">
        <v>3639</v>
      </c>
      <c r="D253" s="12" t="n">
        <v>3691</v>
      </c>
      <c r="E253" s="12" t="n">
        <v>3743</v>
      </c>
      <c r="F253" s="12" t="n">
        <v>3798</v>
      </c>
      <c r="G253" s="12" t="n">
        <v>3848</v>
      </c>
      <c r="H253" s="12" t="n">
        <v>3906</v>
      </c>
      <c r="I253" s="12" t="n">
        <v>3934</v>
      </c>
      <c r="J253" s="12" t="n">
        <v>3982</v>
      </c>
      <c r="K253" s="12" t="n">
        <v>4040</v>
      </c>
      <c r="L253" s="12" t="n">
        <v>4102</v>
      </c>
      <c r="M253" s="13" t="s">
        <v>59</v>
      </c>
    </row>
    <row r="254" customFormat="false" ht="15" hidden="false" customHeight="false" outlineLevel="0" collapsed="false">
      <c r="A254" s="6" t="s">
        <v>60</v>
      </c>
      <c r="B254" s="14" t="n">
        <v>425</v>
      </c>
      <c r="C254" s="14" t="n">
        <v>425</v>
      </c>
      <c r="D254" s="14" t="n">
        <v>425</v>
      </c>
      <c r="E254" s="14" t="n">
        <v>425</v>
      </c>
      <c r="F254" s="14" t="n">
        <v>425</v>
      </c>
      <c r="G254" s="14" t="n">
        <v>425</v>
      </c>
      <c r="H254" s="14" t="n">
        <v>425</v>
      </c>
      <c r="I254" s="14" t="n">
        <v>265</v>
      </c>
      <c r="J254" s="14" t="n">
        <v>265</v>
      </c>
      <c r="K254" s="14" t="n">
        <v>265</v>
      </c>
      <c r="L254" s="14" t="n">
        <v>265</v>
      </c>
      <c r="M254" s="14" t="n">
        <v>0</v>
      </c>
    </row>
    <row r="255" customFormat="false" ht="15" hidden="false" customHeight="false" outlineLevel="0" collapsed="false">
      <c r="A255" s="6" t="s">
        <v>61</v>
      </c>
      <c r="B255" s="15" t="n">
        <v>0</v>
      </c>
      <c r="C255" s="15" t="n">
        <v>0</v>
      </c>
      <c r="D255" s="15" t="n">
        <v>0</v>
      </c>
      <c r="E255" s="15" t="n">
        <v>0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15" t="n">
        <v>0</v>
      </c>
      <c r="L255" s="15" t="n">
        <v>0</v>
      </c>
      <c r="M255" s="15" t="n">
        <v>0</v>
      </c>
    </row>
    <row r="256" customFormat="false" ht="15" hidden="false" customHeight="false" outlineLevel="0" collapsed="false">
      <c r="A256" s="4" t="s">
        <v>62</v>
      </c>
      <c r="B256" s="16" t="n">
        <f aca="false">B254+B255</f>
        <v>425</v>
      </c>
      <c r="C256" s="16" t="n">
        <f aca="false">C254+C255</f>
        <v>425</v>
      </c>
      <c r="D256" s="16" t="n">
        <f aca="false">D254+D255</f>
        <v>425</v>
      </c>
      <c r="E256" s="16" t="n">
        <f aca="false">E254+E255</f>
        <v>425</v>
      </c>
      <c r="F256" s="16" t="n">
        <f aca="false">F254+F255</f>
        <v>425</v>
      </c>
      <c r="G256" s="16" t="n">
        <f aca="false">G254+G255</f>
        <v>425</v>
      </c>
      <c r="H256" s="16" t="n">
        <f aca="false">H254+H255</f>
        <v>425</v>
      </c>
      <c r="I256" s="16" t="n">
        <f aca="false">I254+I255</f>
        <v>265</v>
      </c>
      <c r="J256" s="16" t="n">
        <f aca="false">J254+J255</f>
        <v>265</v>
      </c>
      <c r="K256" s="16" t="n">
        <f aca="false">K254+K255</f>
        <v>265</v>
      </c>
      <c r="L256" s="16" t="n">
        <f aca="false">L254+L255</f>
        <v>265</v>
      </c>
      <c r="M256" s="16" t="n">
        <f aca="false">M254+M255</f>
        <v>0</v>
      </c>
    </row>
    <row r="257" customFormat="false" ht="15" hidden="false" customHeight="false" outlineLevel="0" collapsed="false">
      <c r="A257" s="6" t="s">
        <v>63</v>
      </c>
      <c r="B257" s="17" t="n">
        <v>45873</v>
      </c>
      <c r="C257" s="17" t="n">
        <v>45904</v>
      </c>
      <c r="D257" s="17" t="n">
        <v>45934</v>
      </c>
      <c r="E257" s="17" t="n">
        <v>45965</v>
      </c>
      <c r="F257" s="17" t="n">
        <v>45995</v>
      </c>
      <c r="G257" s="17" t="n">
        <v>46026</v>
      </c>
      <c r="H257" s="17" t="n">
        <v>46057</v>
      </c>
      <c r="I257" s="17" t="n">
        <v>46072</v>
      </c>
      <c r="J257" s="17" t="n">
        <v>46100</v>
      </c>
      <c r="K257" s="17" t="n">
        <v>46131</v>
      </c>
      <c r="L257" s="17" t="n">
        <v>46161</v>
      </c>
      <c r="M257" s="18" t="s">
        <v>64</v>
      </c>
    </row>
    <row r="258" customFormat="false" ht="15" hidden="false" customHeight="false" outlineLevel="0" collapsed="false">
      <c r="A258" s="6" t="s">
        <v>65</v>
      </c>
      <c r="B258" s="19" t="n">
        <v>0.6</v>
      </c>
      <c r="C258" s="19" t="n">
        <v>0.6</v>
      </c>
      <c r="D258" s="19" t="n">
        <v>0.6</v>
      </c>
      <c r="E258" s="19" t="n">
        <v>0.6</v>
      </c>
      <c r="F258" s="19" t="n">
        <v>0.6</v>
      </c>
      <c r="G258" s="19" t="n">
        <v>0.6</v>
      </c>
      <c r="H258" s="19" t="n">
        <v>0.6</v>
      </c>
      <c r="I258" s="19" t="n">
        <v>0.6</v>
      </c>
      <c r="J258" s="19" t="n">
        <v>0.6</v>
      </c>
      <c r="K258" s="19" t="n">
        <v>0.6</v>
      </c>
      <c r="L258" s="19" t="n">
        <v>0.6</v>
      </c>
      <c r="M258" s="19" t="n">
        <v>0.6</v>
      </c>
    </row>
    <row r="259" customFormat="false" ht="15" hidden="false" customHeight="false" outlineLevel="0" collapsed="false">
      <c r="A259" s="6" t="s">
        <v>66</v>
      </c>
      <c r="B259" s="20" t="n">
        <f aca="false">1-DAY(B257)/DAY(EOMONTH(B257,0))</f>
        <v>0.870967741935484</v>
      </c>
      <c r="C259" s="20" t="n">
        <f aca="false">1-DAY(C257)/DAY(EOMONTH(C257,0))</f>
        <v>0.866666666666667</v>
      </c>
      <c r="D259" s="20" t="n">
        <f aca="false">1-DAY(D257)/DAY(EOMONTH(D257,0))</f>
        <v>0.870967741935484</v>
      </c>
      <c r="E259" s="20" t="n">
        <f aca="false">1-DAY(E257)/DAY(EOMONTH(E257,0))</f>
        <v>0.866666666666667</v>
      </c>
      <c r="F259" s="20" t="n">
        <f aca="false">1-DAY(F257)/DAY(EOMONTH(F257,0))</f>
        <v>0.870967741935484</v>
      </c>
      <c r="G259" s="20" t="n">
        <f aca="false">1-DAY(G257)/DAY(EOMONTH(G257,0))</f>
        <v>0.870967741935484</v>
      </c>
      <c r="H259" s="20" t="n">
        <f aca="false">1-DAY(H257)/DAY(EOMONTH(H257,0))</f>
        <v>0.857142857142857</v>
      </c>
      <c r="I259" s="20" t="n">
        <f aca="false">1-DAY(I257)/DAY(EOMONTH(I257,0))</f>
        <v>0.321428571428571</v>
      </c>
      <c r="J259" s="20" t="n">
        <f aca="false">1-DAY(J257)/DAY(EOMONTH(J257,0))</f>
        <v>0.387096774193548</v>
      </c>
      <c r="K259" s="20" t="n">
        <f aca="false">1-DAY(K257)/DAY(EOMONTH(K257,0))</f>
        <v>0.366666666666667</v>
      </c>
      <c r="L259" s="20" t="n">
        <f aca="false">1-DAY(L257)/DAY(EOMONTH(L257,0))</f>
        <v>0.387096774193548</v>
      </c>
      <c r="M259" s="20" t="n">
        <v>0</v>
      </c>
    </row>
    <row r="260" customFormat="false" ht="15" hidden="false" customHeight="false" outlineLevel="0" collapsed="false">
      <c r="A260" s="4" t="s">
        <v>67</v>
      </c>
      <c r="B260" s="16" t="n">
        <f aca="false">B256*B258*B259</f>
        <v>222.096774193548</v>
      </c>
      <c r="C260" s="16" t="n">
        <f aca="false">C256*C258*C259+(1-B259)*B256*B258</f>
        <v>253.903225806452</v>
      </c>
      <c r="D260" s="16" t="n">
        <f aca="false">D256*D258*D259+(1-C259)*C256*C258</f>
        <v>256.096774193548</v>
      </c>
      <c r="E260" s="16" t="n">
        <f aca="false">E256*E258*E259+(1-D259)*D256*D258</f>
        <v>253.903225806452</v>
      </c>
      <c r="F260" s="16" t="n">
        <f aca="false">F256*F258*F259+(1-E259)*E256*E258</f>
        <v>256.096774193548</v>
      </c>
      <c r="G260" s="16" t="n">
        <f aca="false">G256*G258*G259+(1-F259)*F256*F258</f>
        <v>255</v>
      </c>
      <c r="H260" s="16" t="n">
        <f aca="false">H256*H258*H259+(1-G259)*G256*G258</f>
        <v>251.47465437788</v>
      </c>
      <c r="I260" s="16" t="n">
        <f aca="false">I256*I258*I259+(1-H259)*H256*H258</f>
        <v>87.5357142857143</v>
      </c>
      <c r="J260" s="16" t="n">
        <f aca="false">J256*J258*J259+(1-I259)*I256*I258</f>
        <v>169.441244239631</v>
      </c>
      <c r="K260" s="16" t="n">
        <f aca="false">K256*K258*K259+(1-J259)*J256*J258</f>
        <v>155.751612903226</v>
      </c>
      <c r="L260" s="16" t="n">
        <f aca="false">L256*L258*L259+(1-K259)*K256*K258</f>
        <v>162.248387096774</v>
      </c>
      <c r="M260" s="16" t="n">
        <f aca="false">M256*M258*M259+(1-L259)*L256*L258</f>
        <v>97.4516129032258</v>
      </c>
      <c r="O260" s="16" t="n">
        <f aca="false">SUM(B260:M260)</f>
        <v>2421</v>
      </c>
    </row>
    <row r="261" customFormat="false" ht="15" hidden="false" customHeight="false" outlineLevel="0" collapsed="false">
      <c r="A261" s="21" t="s">
        <v>68</v>
      </c>
      <c r="B261" s="22" t="n">
        <f aca="false">B256*B258</f>
        <v>255</v>
      </c>
      <c r="C261" s="22" t="n">
        <f aca="false">C256*C258</f>
        <v>255</v>
      </c>
      <c r="D261" s="22" t="n">
        <f aca="false">D256*D258</f>
        <v>255</v>
      </c>
      <c r="E261" s="22" t="n">
        <f aca="false">E256*E258</f>
        <v>255</v>
      </c>
      <c r="F261" s="22" t="n">
        <f aca="false">F256*F258</f>
        <v>255</v>
      </c>
      <c r="G261" s="22" t="n">
        <f aca="false">G256*G258</f>
        <v>255</v>
      </c>
      <c r="H261" s="22" t="n">
        <f aca="false">H256*H258</f>
        <v>255</v>
      </c>
      <c r="I261" s="22" t="n">
        <f aca="false">I256*I258</f>
        <v>159</v>
      </c>
      <c r="J261" s="22" t="n">
        <f aca="false">J256*J258</f>
        <v>159</v>
      </c>
      <c r="K261" s="22" t="n">
        <f aca="false">K256*K258</f>
        <v>159</v>
      </c>
      <c r="L261" s="22" t="n">
        <f aca="false">L256*L258</f>
        <v>159</v>
      </c>
      <c r="M261" s="22" t="n">
        <f aca="false">M256*M258</f>
        <v>0</v>
      </c>
      <c r="N261" s="23"/>
      <c r="O261" s="24" t="n">
        <f aca="false">SUM(B261:M261)</f>
        <v>2421</v>
      </c>
      <c r="P261" s="24" t="n">
        <f aca="false">O261-O260</f>
        <v>0</v>
      </c>
    </row>
    <row r="264" customFormat="false" ht="15" hidden="false" customHeight="false" outlineLevel="0" collapsed="false">
      <c r="A264" s="8" t="s">
        <v>126</v>
      </c>
      <c r="B264" s="9" t="s">
        <v>127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customFormat="false" ht="15" hidden="false" customHeight="false" outlineLevel="0" collapsed="false">
      <c r="A265" s="6" t="s">
        <v>47</v>
      </c>
      <c r="B265" s="11" t="s">
        <v>80</v>
      </c>
      <c r="C265" s="11" t="s">
        <v>81</v>
      </c>
      <c r="D265" s="11" t="s">
        <v>48</v>
      </c>
      <c r="E265" s="11" t="s">
        <v>49</v>
      </c>
      <c r="F265" s="11" t="s">
        <v>50</v>
      </c>
      <c r="G265" s="11" t="s">
        <v>51</v>
      </c>
      <c r="H265" s="11" t="s">
        <v>52</v>
      </c>
      <c r="I265" s="11" t="s">
        <v>53</v>
      </c>
      <c r="J265" s="11" t="s">
        <v>54</v>
      </c>
      <c r="K265" s="11" t="s">
        <v>55</v>
      </c>
      <c r="L265" s="11" t="s">
        <v>82</v>
      </c>
      <c r="O265" s="4" t="s">
        <v>56</v>
      </c>
      <c r="P265" s="4" t="s">
        <v>57</v>
      </c>
    </row>
    <row r="266" customFormat="false" ht="15" hidden="false" customHeight="false" outlineLevel="0" collapsed="false">
      <c r="A266" s="6" t="s">
        <v>58</v>
      </c>
      <c r="B266" s="12" t="n">
        <v>3697</v>
      </c>
      <c r="C266" s="12" t="n">
        <v>3750</v>
      </c>
      <c r="D266" s="12" t="n">
        <v>3804</v>
      </c>
      <c r="E266" s="12" t="n">
        <v>3859</v>
      </c>
      <c r="F266" s="12" t="n">
        <v>3911</v>
      </c>
      <c r="G266" s="12" t="n">
        <v>3959</v>
      </c>
      <c r="H266" s="12" t="n">
        <v>4016</v>
      </c>
      <c r="I266" s="12" t="n">
        <v>4075</v>
      </c>
      <c r="J266" s="12" t="n">
        <v>4157</v>
      </c>
      <c r="K266" s="12" t="n">
        <v>4222</v>
      </c>
      <c r="L266" s="13" t="s">
        <v>59</v>
      </c>
    </row>
    <row r="267" customFormat="false" ht="15" hidden="false" customHeight="false" outlineLevel="0" collapsed="false">
      <c r="A267" s="6" t="s">
        <v>60</v>
      </c>
      <c r="B267" s="14" t="n">
        <v>425</v>
      </c>
      <c r="C267" s="14" t="n">
        <v>425</v>
      </c>
      <c r="D267" s="14" t="n">
        <v>425</v>
      </c>
      <c r="E267" s="14" t="n">
        <v>425</v>
      </c>
      <c r="F267" s="14" t="n">
        <v>425</v>
      </c>
      <c r="G267" s="14" t="n">
        <v>425</v>
      </c>
      <c r="H267" s="14" t="n">
        <v>425</v>
      </c>
      <c r="I267" s="14" t="n">
        <v>425</v>
      </c>
      <c r="J267" s="14" t="n">
        <v>265</v>
      </c>
      <c r="K267" s="14" t="n">
        <v>265</v>
      </c>
      <c r="L267" s="14" t="n">
        <v>0</v>
      </c>
    </row>
    <row r="268" customFormat="false" ht="15" hidden="false" customHeight="false" outlineLevel="0" collapsed="false">
      <c r="A268" s="6" t="s">
        <v>61</v>
      </c>
      <c r="B268" s="15" t="n">
        <v>0</v>
      </c>
      <c r="C268" s="15" t="n">
        <v>0</v>
      </c>
      <c r="D268" s="15" t="n">
        <v>0</v>
      </c>
      <c r="E268" s="15" t="n">
        <v>0</v>
      </c>
      <c r="F268" s="15" t="n">
        <v>0</v>
      </c>
      <c r="G268" s="15" t="n">
        <v>0</v>
      </c>
      <c r="H268" s="15" t="n">
        <v>0</v>
      </c>
      <c r="I268" s="15" t="n">
        <v>0</v>
      </c>
      <c r="J268" s="26" t="n">
        <f aca="false">SUMIF(Adjustments!$C$5:$C$14,J266,Adjustments!$H$5:$H$14)</f>
        <v>0</v>
      </c>
      <c r="K268" s="15" t="n">
        <v>0</v>
      </c>
      <c r="L268" s="15" t="n">
        <v>0</v>
      </c>
    </row>
    <row r="269" customFormat="false" ht="15" hidden="false" customHeight="false" outlineLevel="0" collapsed="false">
      <c r="A269" s="4" t="s">
        <v>62</v>
      </c>
      <c r="B269" s="16" t="n">
        <f aca="false">B267+B268</f>
        <v>425</v>
      </c>
      <c r="C269" s="16" t="n">
        <f aca="false">C267+C268</f>
        <v>425</v>
      </c>
      <c r="D269" s="16" t="n">
        <f aca="false">D267+D268</f>
        <v>425</v>
      </c>
      <c r="E269" s="16" t="n">
        <f aca="false">E267+E268</f>
        <v>425</v>
      </c>
      <c r="F269" s="16" t="n">
        <f aca="false">F267+F268</f>
        <v>425</v>
      </c>
      <c r="G269" s="16" t="n">
        <f aca="false">G267+G268</f>
        <v>425</v>
      </c>
      <c r="H269" s="16" t="n">
        <f aca="false">H267+H268</f>
        <v>425</v>
      </c>
      <c r="I269" s="16" t="n">
        <f aca="false">I267+I268</f>
        <v>425</v>
      </c>
      <c r="J269" s="16" t="n">
        <f aca="false">J267+J268</f>
        <v>265</v>
      </c>
      <c r="K269" s="16" t="n">
        <f aca="false">K267+K268</f>
        <v>265</v>
      </c>
      <c r="L269" s="16" t="n">
        <f aca="false">L267+L268</f>
        <v>0</v>
      </c>
    </row>
    <row r="270" customFormat="false" ht="15" hidden="false" customHeight="false" outlineLevel="0" collapsed="false">
      <c r="A270" s="6" t="s">
        <v>63</v>
      </c>
      <c r="B270" s="17" t="n">
        <v>45939</v>
      </c>
      <c r="C270" s="17" t="n">
        <v>45970</v>
      </c>
      <c r="D270" s="17" t="n">
        <v>46000</v>
      </c>
      <c r="E270" s="17" t="n">
        <v>46031</v>
      </c>
      <c r="F270" s="17" t="n">
        <v>46062</v>
      </c>
      <c r="G270" s="17" t="n">
        <v>46090</v>
      </c>
      <c r="H270" s="17" t="n">
        <v>46121</v>
      </c>
      <c r="I270" s="17" t="n">
        <v>46151</v>
      </c>
      <c r="J270" s="17" t="n">
        <v>46188</v>
      </c>
      <c r="K270" s="17" t="n">
        <v>46218</v>
      </c>
      <c r="L270" s="18" t="s">
        <v>64</v>
      </c>
    </row>
    <row r="271" customFormat="false" ht="15" hidden="false" customHeight="false" outlineLevel="0" collapsed="false">
      <c r="A271" s="6" t="s">
        <v>65</v>
      </c>
      <c r="B271" s="19" t="n">
        <v>0.6</v>
      </c>
      <c r="C271" s="19" t="n">
        <v>0.6</v>
      </c>
      <c r="D271" s="19" t="n">
        <v>0.6</v>
      </c>
      <c r="E271" s="19" t="n">
        <v>0.6</v>
      </c>
      <c r="F271" s="19" t="n">
        <v>0.6</v>
      </c>
      <c r="G271" s="19" t="n">
        <v>0.6</v>
      </c>
      <c r="H271" s="19" t="n">
        <v>0.6</v>
      </c>
      <c r="I271" s="19" t="n">
        <v>0.6</v>
      </c>
      <c r="J271" s="19" t="n">
        <v>0.6</v>
      </c>
      <c r="K271" s="19" t="n">
        <v>0.6</v>
      </c>
      <c r="L271" s="19" t="n">
        <v>0.6</v>
      </c>
    </row>
    <row r="272" customFormat="false" ht="15" hidden="false" customHeight="false" outlineLevel="0" collapsed="false">
      <c r="A272" s="6" t="s">
        <v>66</v>
      </c>
      <c r="B272" s="20" t="n">
        <f aca="false">1-DAY(B270)/DAY(EOMONTH(B270,0))</f>
        <v>0.709677419354839</v>
      </c>
      <c r="C272" s="20" t="n">
        <f aca="false">1-DAY(C270)/DAY(EOMONTH(C270,0))</f>
        <v>0.7</v>
      </c>
      <c r="D272" s="20" t="n">
        <f aca="false">1-DAY(D270)/DAY(EOMONTH(D270,0))</f>
        <v>0.709677419354839</v>
      </c>
      <c r="E272" s="20" t="n">
        <f aca="false">1-DAY(E270)/DAY(EOMONTH(E270,0))</f>
        <v>0.709677419354839</v>
      </c>
      <c r="F272" s="20" t="n">
        <f aca="false">1-DAY(F270)/DAY(EOMONTH(F270,0))</f>
        <v>0.678571428571429</v>
      </c>
      <c r="G272" s="20" t="n">
        <f aca="false">1-DAY(G270)/DAY(EOMONTH(G270,0))</f>
        <v>0.709677419354839</v>
      </c>
      <c r="H272" s="20" t="n">
        <f aca="false">1-DAY(H270)/DAY(EOMONTH(H270,0))</f>
        <v>0.7</v>
      </c>
      <c r="I272" s="20" t="n">
        <f aca="false">1-DAY(I270)/DAY(EOMONTH(I270,0))</f>
        <v>0.709677419354839</v>
      </c>
      <c r="J272" s="20" t="n">
        <f aca="false">1-DAY(J270)/DAY(EOMONTH(J270,0))</f>
        <v>0.5</v>
      </c>
      <c r="K272" s="20" t="n">
        <f aca="false">1-DAY(K270)/DAY(EOMONTH(K270,0))</f>
        <v>0.516129032258065</v>
      </c>
      <c r="L272" s="20" t="n">
        <v>0</v>
      </c>
    </row>
    <row r="273" customFormat="false" ht="15" hidden="false" customHeight="false" outlineLevel="0" collapsed="false">
      <c r="A273" s="4" t="s">
        <v>67</v>
      </c>
      <c r="B273" s="16" t="n">
        <f aca="false">B269*B271*B272</f>
        <v>180.967741935484</v>
      </c>
      <c r="C273" s="16" t="n">
        <f aca="false">C269*C271*C272+(1-B272)*B269*B271</f>
        <v>252.532258064516</v>
      </c>
      <c r="D273" s="16" t="n">
        <f aca="false">D269*D271*D272+(1-C272)*C269*C271</f>
        <v>257.467741935484</v>
      </c>
      <c r="E273" s="16" t="n">
        <f aca="false">E269*E271*E272+(1-D272)*D269*D271</f>
        <v>255</v>
      </c>
      <c r="F273" s="16" t="n">
        <f aca="false">F269*F271*F272+(1-E272)*E269*E271</f>
        <v>247.06797235023</v>
      </c>
      <c r="G273" s="16" t="n">
        <f aca="false">G269*G271*G272+(1-F272)*F269*F271</f>
        <v>262.93202764977</v>
      </c>
      <c r="H273" s="16" t="n">
        <f aca="false">H269*H271*H272+(1-G272)*G269*G271</f>
        <v>252.532258064516</v>
      </c>
      <c r="I273" s="16" t="n">
        <f aca="false">I269*I271*I272+(1-H272)*H269*H271</f>
        <v>257.467741935484</v>
      </c>
      <c r="J273" s="16" t="n">
        <f aca="false">J269*J271*J272+(1-I272)*I269*I271</f>
        <v>153.532258064516</v>
      </c>
      <c r="K273" s="16" t="n">
        <f aca="false">K269*K271*K272+(1-J272)*J269*J271</f>
        <v>161.564516129032</v>
      </c>
      <c r="L273" s="16" t="n">
        <f aca="false">L269*L271*L272+(1-K272)*K269*K271</f>
        <v>76.9354838709677</v>
      </c>
      <c r="O273" s="16" t="n">
        <f aca="false">SUM(B273:L273)</f>
        <v>2358</v>
      </c>
    </row>
    <row r="274" customFormat="false" ht="15" hidden="false" customHeight="false" outlineLevel="0" collapsed="false">
      <c r="A274" s="21" t="s">
        <v>68</v>
      </c>
      <c r="B274" s="22" t="n">
        <f aca="false">B269*B271</f>
        <v>255</v>
      </c>
      <c r="C274" s="22" t="n">
        <f aca="false">C269*C271</f>
        <v>255</v>
      </c>
      <c r="D274" s="22" t="n">
        <f aca="false">D269*D271</f>
        <v>255</v>
      </c>
      <c r="E274" s="22" t="n">
        <f aca="false">E269*E271</f>
        <v>255</v>
      </c>
      <c r="F274" s="22" t="n">
        <f aca="false">F269*F271</f>
        <v>255</v>
      </c>
      <c r="G274" s="22" t="n">
        <f aca="false">G269*G271</f>
        <v>255</v>
      </c>
      <c r="H274" s="22" t="n">
        <f aca="false">H269*H271</f>
        <v>255</v>
      </c>
      <c r="I274" s="22" t="n">
        <f aca="false">I269*I271</f>
        <v>255</v>
      </c>
      <c r="J274" s="22" t="n">
        <f aca="false">J269*J271</f>
        <v>159</v>
      </c>
      <c r="K274" s="22" t="n">
        <f aca="false">K269*K271</f>
        <v>159</v>
      </c>
      <c r="L274" s="22" t="n">
        <f aca="false">L269*L271</f>
        <v>0</v>
      </c>
      <c r="M274" s="23"/>
      <c r="N274" s="23"/>
      <c r="O274" s="24" t="n">
        <f aca="false">SUM(B274:L274)</f>
        <v>2358</v>
      </c>
      <c r="P274" s="24" t="n">
        <f aca="false">O274-O273</f>
        <v>0</v>
      </c>
    </row>
    <row r="277" customFormat="false" ht="15" hidden="false" customHeight="false" outlineLevel="0" collapsed="false">
      <c r="A277" s="8" t="s">
        <v>128</v>
      </c>
      <c r="B277" s="9" t="s">
        <v>129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customFormat="false" ht="15" hidden="false" customHeight="false" outlineLevel="0" collapsed="false">
      <c r="A278" s="6" t="s">
        <v>47</v>
      </c>
      <c r="B278" s="11" t="s">
        <v>107</v>
      </c>
      <c r="C278" s="11" t="s">
        <v>87</v>
      </c>
      <c r="D278" s="11" t="s">
        <v>80</v>
      </c>
      <c r="E278" s="11" t="s">
        <v>81</v>
      </c>
      <c r="F278" s="11" t="s">
        <v>48</v>
      </c>
      <c r="G278" s="11" t="s">
        <v>49</v>
      </c>
      <c r="H278" s="11" t="s">
        <v>50</v>
      </c>
      <c r="I278" s="11" t="s">
        <v>51</v>
      </c>
      <c r="J278" s="11" t="s">
        <v>52</v>
      </c>
      <c r="K278" s="11" t="s">
        <v>53</v>
      </c>
      <c r="L278" s="11" t="s">
        <v>54</v>
      </c>
      <c r="M278" s="11" t="s">
        <v>55</v>
      </c>
      <c r="N278" s="11" t="s">
        <v>82</v>
      </c>
      <c r="O278" s="4" t="s">
        <v>56</v>
      </c>
      <c r="P278" s="4" t="s">
        <v>57</v>
      </c>
    </row>
    <row r="279" customFormat="false" ht="15" hidden="false" customHeight="false" outlineLevel="0" collapsed="false">
      <c r="A279" s="6" t="s">
        <v>58</v>
      </c>
      <c r="B279" s="12" t="n">
        <v>3584</v>
      </c>
      <c r="C279" s="12" t="n">
        <v>3640</v>
      </c>
      <c r="D279" s="12" t="n">
        <v>3692</v>
      </c>
      <c r="E279" s="12" t="n">
        <v>3744</v>
      </c>
      <c r="F279" s="12" t="n">
        <v>3800</v>
      </c>
      <c r="G279" s="12" t="n">
        <v>3849</v>
      </c>
      <c r="H279" s="12" t="n">
        <v>3907</v>
      </c>
      <c r="I279" s="12" t="n">
        <v>3956</v>
      </c>
      <c r="J279" s="12" t="n">
        <v>4010</v>
      </c>
      <c r="K279" s="12" t="n">
        <v>4067</v>
      </c>
      <c r="L279" s="12" t="n">
        <v>4135</v>
      </c>
      <c r="M279" s="12" t="n">
        <v>4197</v>
      </c>
      <c r="N279" s="13" t="s">
        <v>59</v>
      </c>
    </row>
    <row r="280" customFormat="false" ht="15" hidden="false" customHeight="false" outlineLevel="0" collapsed="false">
      <c r="A280" s="6" t="s">
        <v>60</v>
      </c>
      <c r="B280" s="14" t="n">
        <v>425</v>
      </c>
      <c r="C280" s="14" t="n">
        <v>425</v>
      </c>
      <c r="D280" s="14" t="n">
        <v>425</v>
      </c>
      <c r="E280" s="14" t="n">
        <v>425</v>
      </c>
      <c r="F280" s="14" t="n">
        <v>425</v>
      </c>
      <c r="G280" s="14" t="n">
        <v>425</v>
      </c>
      <c r="H280" s="14" t="n">
        <v>425</v>
      </c>
      <c r="I280" s="14" t="n">
        <v>425</v>
      </c>
      <c r="J280" s="14" t="n">
        <v>425</v>
      </c>
      <c r="K280" s="14" t="n">
        <v>425</v>
      </c>
      <c r="L280" s="14" t="n">
        <v>425</v>
      </c>
      <c r="M280" s="14" t="n">
        <v>425</v>
      </c>
      <c r="N280" s="14" t="n">
        <v>0</v>
      </c>
    </row>
    <row r="281" customFormat="false" ht="15" hidden="false" customHeight="false" outlineLevel="0" collapsed="false">
      <c r="A281" s="6" t="s">
        <v>61</v>
      </c>
      <c r="B281" s="15" t="n">
        <v>0</v>
      </c>
      <c r="C281" s="15" t="n">
        <v>0</v>
      </c>
      <c r="D281" s="15" t="n">
        <v>0</v>
      </c>
      <c r="E281" s="15" t="n">
        <v>0</v>
      </c>
      <c r="F281" s="15" t="n">
        <v>0</v>
      </c>
      <c r="G281" s="15" t="n">
        <v>0</v>
      </c>
      <c r="H281" s="15" t="n">
        <v>0</v>
      </c>
      <c r="I281" s="15" t="n">
        <v>0</v>
      </c>
      <c r="J281" s="15" t="n">
        <v>0</v>
      </c>
      <c r="K281" s="15" t="n">
        <v>0</v>
      </c>
      <c r="L281" s="15" t="n">
        <v>0</v>
      </c>
      <c r="M281" s="15" t="n">
        <v>0</v>
      </c>
      <c r="N281" s="15" t="n">
        <v>0</v>
      </c>
    </row>
    <row r="282" customFormat="false" ht="15" hidden="false" customHeight="false" outlineLevel="0" collapsed="false">
      <c r="A282" s="4" t="s">
        <v>62</v>
      </c>
      <c r="B282" s="16" t="n">
        <f aca="false">B280+B281</f>
        <v>425</v>
      </c>
      <c r="C282" s="16" t="n">
        <f aca="false">C280+C281</f>
        <v>425</v>
      </c>
      <c r="D282" s="16" t="n">
        <f aca="false">D280+D281</f>
        <v>425</v>
      </c>
      <c r="E282" s="16" t="n">
        <f aca="false">E280+E281</f>
        <v>425</v>
      </c>
      <c r="F282" s="16" t="n">
        <f aca="false">F280+F281</f>
        <v>425</v>
      </c>
      <c r="G282" s="16" t="n">
        <f aca="false">G280+G281</f>
        <v>425</v>
      </c>
      <c r="H282" s="16" t="n">
        <f aca="false">H280+H281</f>
        <v>425</v>
      </c>
      <c r="I282" s="16" t="n">
        <f aca="false">I280+I281</f>
        <v>425</v>
      </c>
      <c r="J282" s="16" t="n">
        <f aca="false">J280+J281</f>
        <v>425</v>
      </c>
      <c r="K282" s="16" t="n">
        <f aca="false">K280+K281</f>
        <v>425</v>
      </c>
      <c r="L282" s="16" t="n">
        <f aca="false">L280+L281</f>
        <v>425</v>
      </c>
      <c r="M282" s="16" t="n">
        <f aca="false">M280+M281</f>
        <v>425</v>
      </c>
      <c r="N282" s="16" t="n">
        <f aca="false">N280+N281</f>
        <v>0</v>
      </c>
    </row>
    <row r="283" customFormat="false" ht="15" hidden="false" customHeight="false" outlineLevel="0" collapsed="false">
      <c r="A283" s="6" t="s">
        <v>63</v>
      </c>
      <c r="B283" s="17" t="n">
        <v>45874</v>
      </c>
      <c r="C283" s="17" t="n">
        <v>45905</v>
      </c>
      <c r="D283" s="17" t="n">
        <v>45935</v>
      </c>
      <c r="E283" s="17" t="n">
        <v>45966</v>
      </c>
      <c r="F283" s="17" t="n">
        <v>45996</v>
      </c>
      <c r="G283" s="17" t="n">
        <v>46027</v>
      </c>
      <c r="H283" s="17" t="n">
        <v>46058</v>
      </c>
      <c r="I283" s="17" t="n">
        <v>46086</v>
      </c>
      <c r="J283" s="17" t="n">
        <v>46117</v>
      </c>
      <c r="K283" s="17" t="n">
        <v>46147</v>
      </c>
      <c r="L283" s="17" t="n">
        <v>46178</v>
      </c>
      <c r="M283" s="17" t="n">
        <v>46208</v>
      </c>
      <c r="N283" s="18" t="s">
        <v>64</v>
      </c>
    </row>
    <row r="284" customFormat="false" ht="15" hidden="false" customHeight="false" outlineLevel="0" collapsed="false">
      <c r="A284" s="6" t="s">
        <v>65</v>
      </c>
      <c r="B284" s="19" t="n">
        <v>0.6</v>
      </c>
      <c r="C284" s="19" t="n">
        <v>0.6</v>
      </c>
      <c r="D284" s="19" t="n">
        <v>0.6</v>
      </c>
      <c r="E284" s="19" t="n">
        <v>0.6</v>
      </c>
      <c r="F284" s="19" t="n">
        <v>0.6</v>
      </c>
      <c r="G284" s="19" t="n">
        <v>0.6</v>
      </c>
      <c r="H284" s="19" t="n">
        <v>0.6</v>
      </c>
      <c r="I284" s="19" t="n">
        <v>0.6</v>
      </c>
      <c r="J284" s="19" t="n">
        <v>0.6</v>
      </c>
      <c r="K284" s="19" t="n">
        <v>0.6</v>
      </c>
      <c r="L284" s="19" t="n">
        <v>0.6</v>
      </c>
      <c r="M284" s="19" t="n">
        <v>0.6</v>
      </c>
      <c r="N284" s="19" t="n">
        <v>0.6</v>
      </c>
    </row>
    <row r="285" customFormat="false" ht="15" hidden="false" customHeight="false" outlineLevel="0" collapsed="false">
      <c r="A285" s="6" t="s">
        <v>66</v>
      </c>
      <c r="B285" s="20" t="n">
        <f aca="false">1-DAY(B283)/DAY(EOMONTH(B283,0))</f>
        <v>0.838709677419355</v>
      </c>
      <c r="C285" s="20" t="n">
        <f aca="false">1-DAY(C283)/DAY(EOMONTH(C283,0))</f>
        <v>0.833333333333333</v>
      </c>
      <c r="D285" s="20" t="n">
        <f aca="false">1-DAY(D283)/DAY(EOMONTH(D283,0))</f>
        <v>0.838709677419355</v>
      </c>
      <c r="E285" s="20" t="n">
        <f aca="false">1-DAY(E283)/DAY(EOMONTH(E283,0))</f>
        <v>0.833333333333333</v>
      </c>
      <c r="F285" s="20" t="n">
        <f aca="false">1-DAY(F283)/DAY(EOMONTH(F283,0))</f>
        <v>0.838709677419355</v>
      </c>
      <c r="G285" s="20" t="n">
        <f aca="false">1-DAY(G283)/DAY(EOMONTH(G283,0))</f>
        <v>0.838709677419355</v>
      </c>
      <c r="H285" s="20" t="n">
        <f aca="false">1-DAY(H283)/DAY(EOMONTH(H283,0))</f>
        <v>0.821428571428571</v>
      </c>
      <c r="I285" s="20" t="n">
        <f aca="false">1-DAY(I283)/DAY(EOMONTH(I283,0))</f>
        <v>0.838709677419355</v>
      </c>
      <c r="J285" s="20" t="n">
        <f aca="false">1-DAY(J283)/DAY(EOMONTH(J283,0))</f>
        <v>0.833333333333333</v>
      </c>
      <c r="K285" s="20" t="n">
        <f aca="false">1-DAY(K283)/DAY(EOMONTH(K283,0))</f>
        <v>0.838709677419355</v>
      </c>
      <c r="L285" s="20" t="n">
        <f aca="false">1-DAY(L283)/DAY(EOMONTH(L283,0))</f>
        <v>0.833333333333333</v>
      </c>
      <c r="M285" s="20" t="n">
        <f aca="false">1-DAY(M283)/DAY(EOMONTH(M283,0))</f>
        <v>0.838709677419355</v>
      </c>
      <c r="N285" s="20" t="n">
        <v>0</v>
      </c>
    </row>
    <row r="286" customFormat="false" ht="15" hidden="false" customHeight="false" outlineLevel="0" collapsed="false">
      <c r="A286" s="4" t="s">
        <v>67</v>
      </c>
      <c r="B286" s="16" t="n">
        <f aca="false">B282*B284*B285</f>
        <v>213.870967741936</v>
      </c>
      <c r="C286" s="16" t="n">
        <f aca="false">C282*C284*C285+(1-B285)*B282*B284</f>
        <v>253.629032258065</v>
      </c>
      <c r="D286" s="16" t="n">
        <f aca="false">D282*D284*D285+(1-C285)*C282*C284</f>
        <v>256.370967741936</v>
      </c>
      <c r="E286" s="16" t="n">
        <f aca="false">E282*E284*E285+(1-D285)*D282*D284</f>
        <v>253.629032258065</v>
      </c>
      <c r="F286" s="16" t="n">
        <f aca="false">F282*F284*F285+(1-E285)*E282*E284</f>
        <v>256.370967741936</v>
      </c>
      <c r="G286" s="16" t="n">
        <f aca="false">G282*G284*G285+(1-F285)*F282*F284</f>
        <v>255</v>
      </c>
      <c r="H286" s="16" t="n">
        <f aca="false">H282*H284*H285+(1-G285)*G282*G284</f>
        <v>250.59331797235</v>
      </c>
      <c r="I286" s="16" t="n">
        <f aca="false">I282*I284*I285+(1-H285)*H282*H284</f>
        <v>259.40668202765</v>
      </c>
      <c r="J286" s="16" t="n">
        <f aca="false">J282*J284*J285+(1-I285)*I282*I284</f>
        <v>253.629032258065</v>
      </c>
      <c r="K286" s="16" t="n">
        <f aca="false">K282*K284*K285+(1-J285)*J282*J284</f>
        <v>256.370967741936</v>
      </c>
      <c r="L286" s="16" t="n">
        <f aca="false">L282*L284*L285+(1-K285)*K282*K284</f>
        <v>253.629032258065</v>
      </c>
      <c r="M286" s="16" t="n">
        <f aca="false">M282*M284*M285+(1-L285)*L282*L284</f>
        <v>256.370967741936</v>
      </c>
      <c r="N286" s="16" t="n">
        <f aca="false">N282*N284*N285+(1-M285)*M282*M284</f>
        <v>41.1290322580645</v>
      </c>
      <c r="O286" s="16" t="n">
        <f aca="false">SUM(B286:N286)</f>
        <v>3060</v>
      </c>
    </row>
    <row r="287" customFormat="false" ht="15" hidden="false" customHeight="false" outlineLevel="0" collapsed="false">
      <c r="A287" s="21" t="s">
        <v>68</v>
      </c>
      <c r="B287" s="22" t="n">
        <f aca="false">B282*B284</f>
        <v>255</v>
      </c>
      <c r="C287" s="22" t="n">
        <f aca="false">C282*C284</f>
        <v>255</v>
      </c>
      <c r="D287" s="22" t="n">
        <f aca="false">D282*D284</f>
        <v>255</v>
      </c>
      <c r="E287" s="22" t="n">
        <f aca="false">E282*E284</f>
        <v>255</v>
      </c>
      <c r="F287" s="22" t="n">
        <f aca="false">F282*F284</f>
        <v>255</v>
      </c>
      <c r="G287" s="22" t="n">
        <f aca="false">G282*G284</f>
        <v>255</v>
      </c>
      <c r="H287" s="22" t="n">
        <f aca="false">H282*H284</f>
        <v>255</v>
      </c>
      <c r="I287" s="22" t="n">
        <f aca="false">I282*I284</f>
        <v>255</v>
      </c>
      <c r="J287" s="22" t="n">
        <f aca="false">J282*J284</f>
        <v>255</v>
      </c>
      <c r="K287" s="22" t="n">
        <f aca="false">K282*K284</f>
        <v>255</v>
      </c>
      <c r="L287" s="22" t="n">
        <f aca="false">L282*L284</f>
        <v>255</v>
      </c>
      <c r="M287" s="22" t="n">
        <f aca="false">M282*M284</f>
        <v>255</v>
      </c>
      <c r="N287" s="22" t="n">
        <f aca="false">N282*N284</f>
        <v>0</v>
      </c>
      <c r="O287" s="24" t="n">
        <f aca="false">SUM(B287:N287)</f>
        <v>3060</v>
      </c>
      <c r="P287" s="24" t="n">
        <f aca="false">O287-O286</f>
        <v>0</v>
      </c>
    </row>
    <row r="290" customFormat="false" ht="15" hidden="false" customHeight="false" outlineLevel="0" collapsed="false">
      <c r="A290" s="8" t="s">
        <v>130</v>
      </c>
      <c r="B290" s="9" t="s">
        <v>131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customFormat="false" ht="15" hidden="false" customHeight="false" outlineLevel="0" collapsed="false">
      <c r="A291" s="6" t="s">
        <v>47</v>
      </c>
      <c r="B291" s="11" t="s">
        <v>49</v>
      </c>
      <c r="C291" s="11" t="s">
        <v>50</v>
      </c>
      <c r="D291" s="11" t="s">
        <v>51</v>
      </c>
      <c r="E291" s="11" t="s">
        <v>52</v>
      </c>
      <c r="F291" s="11" t="s">
        <v>53</v>
      </c>
      <c r="G291" s="11" t="s">
        <v>54</v>
      </c>
      <c r="H291" s="11" t="s">
        <v>55</v>
      </c>
      <c r="O291" s="4" t="s">
        <v>56</v>
      </c>
      <c r="P291" s="4" t="s">
        <v>57</v>
      </c>
    </row>
    <row r="292" customFormat="false" ht="15" hidden="false" customHeight="false" outlineLevel="0" collapsed="false">
      <c r="A292" s="6" t="s">
        <v>58</v>
      </c>
      <c r="B292" s="12" t="n">
        <v>3863</v>
      </c>
      <c r="C292" s="12" t="n">
        <v>3914</v>
      </c>
      <c r="D292" s="12" t="n">
        <v>3961</v>
      </c>
      <c r="E292" s="13" t="s">
        <v>59</v>
      </c>
      <c r="F292" s="13" t="s">
        <v>59</v>
      </c>
      <c r="G292" s="12" t="n">
        <v>4149</v>
      </c>
      <c r="H292" s="13" t="s">
        <v>59</v>
      </c>
    </row>
    <row r="293" customFormat="false" ht="15" hidden="false" customHeight="false" outlineLevel="0" collapsed="false">
      <c r="A293" s="6" t="s">
        <v>60</v>
      </c>
      <c r="B293" s="14" t="n">
        <v>425</v>
      </c>
      <c r="C293" s="14" t="n">
        <v>425</v>
      </c>
      <c r="D293" s="14" t="n">
        <v>425</v>
      </c>
      <c r="E293" s="14" t="n">
        <v>0</v>
      </c>
      <c r="F293" s="14" t="n">
        <v>0</v>
      </c>
      <c r="G293" s="14" t="n">
        <v>265</v>
      </c>
      <c r="H293" s="14" t="n">
        <v>0</v>
      </c>
    </row>
    <row r="294" customFormat="false" ht="15" hidden="false" customHeight="false" outlineLevel="0" collapsed="false">
      <c r="A294" s="6" t="s">
        <v>61</v>
      </c>
      <c r="B294" s="15" t="n">
        <v>0</v>
      </c>
      <c r="C294" s="15" t="n">
        <v>0</v>
      </c>
      <c r="D294" s="15" t="n">
        <v>0</v>
      </c>
      <c r="E294" s="15" t="n">
        <v>0</v>
      </c>
      <c r="F294" s="15" t="n">
        <v>0</v>
      </c>
      <c r="G294" s="26" t="n">
        <f aca="false">SUMIF(Adjustments!$C$5:$C$14,G292,Adjustments!$H$5:$H$14)</f>
        <v>0</v>
      </c>
      <c r="H294" s="15" t="n">
        <v>0</v>
      </c>
    </row>
    <row r="295" customFormat="false" ht="15" hidden="false" customHeight="false" outlineLevel="0" collapsed="false">
      <c r="A295" s="4" t="s">
        <v>62</v>
      </c>
      <c r="B295" s="16" t="n">
        <f aca="false">B293+B294</f>
        <v>425</v>
      </c>
      <c r="C295" s="16" t="n">
        <f aca="false">C293+C294</f>
        <v>425</v>
      </c>
      <c r="D295" s="16" t="n">
        <f aca="false">D293+D294</f>
        <v>425</v>
      </c>
      <c r="E295" s="16" t="n">
        <f aca="false">E293+E294</f>
        <v>0</v>
      </c>
      <c r="F295" s="16" t="n">
        <f aca="false">F293+F294</f>
        <v>0</v>
      </c>
      <c r="G295" s="16" t="n">
        <f aca="false">G293+G294</f>
        <v>265</v>
      </c>
      <c r="H295" s="16" t="n">
        <f aca="false">H293+H294</f>
        <v>0</v>
      </c>
    </row>
    <row r="296" customFormat="false" ht="15" hidden="false" customHeight="false" outlineLevel="0" collapsed="false">
      <c r="A296" s="6" t="s">
        <v>63</v>
      </c>
      <c r="B296" s="17" t="n">
        <v>46031</v>
      </c>
      <c r="C296" s="17" t="n">
        <v>46062</v>
      </c>
      <c r="D296" s="17" t="n">
        <v>46090</v>
      </c>
      <c r="E296" s="18" t="s">
        <v>64</v>
      </c>
      <c r="F296" s="18" t="s">
        <v>64</v>
      </c>
      <c r="G296" s="17" t="n">
        <v>46184</v>
      </c>
      <c r="H296" s="18" t="s">
        <v>64</v>
      </c>
    </row>
    <row r="297" customFormat="false" ht="15" hidden="false" customHeight="false" outlineLevel="0" collapsed="false">
      <c r="A297" s="6" t="s">
        <v>65</v>
      </c>
      <c r="B297" s="19" t="n">
        <v>0.6</v>
      </c>
      <c r="C297" s="19" t="n">
        <v>0.6</v>
      </c>
      <c r="D297" s="19" t="n">
        <v>0.6</v>
      </c>
      <c r="E297" s="19" t="n">
        <v>0.6</v>
      </c>
      <c r="F297" s="19" t="n">
        <v>0.6</v>
      </c>
      <c r="G297" s="19" t="n">
        <v>0.6</v>
      </c>
      <c r="H297" s="19" t="n">
        <v>0.6</v>
      </c>
    </row>
    <row r="298" customFormat="false" ht="15" hidden="false" customHeight="false" outlineLevel="0" collapsed="false">
      <c r="A298" s="6" t="s">
        <v>66</v>
      </c>
      <c r="B298" s="20" t="n">
        <f aca="false">1-DAY(B296)/DAY(EOMONTH(B296,0))</f>
        <v>0.709677419354839</v>
      </c>
      <c r="C298" s="20" t="n">
        <f aca="false">1-DAY(C296)/DAY(EOMONTH(C296,0))</f>
        <v>0.678571428571429</v>
      </c>
      <c r="D298" s="20" t="n">
        <f aca="false">1-DAY(D296)/DAY(EOMONTH(D296,0))</f>
        <v>0.709677419354839</v>
      </c>
      <c r="E298" s="20" t="n">
        <v>0</v>
      </c>
      <c r="F298" s="20" t="n">
        <v>0</v>
      </c>
      <c r="G298" s="20" t="n">
        <f aca="false">1-DAY(G296)/DAY(EOMONTH(G296,0))</f>
        <v>0.633333333333333</v>
      </c>
      <c r="H298" s="20" t="n">
        <v>0</v>
      </c>
    </row>
    <row r="299" customFormat="false" ht="15" hidden="false" customHeight="false" outlineLevel="0" collapsed="false">
      <c r="A299" s="4" t="s">
        <v>67</v>
      </c>
      <c r="B299" s="16" t="n">
        <f aca="false">B295*B297*B298</f>
        <v>180.967741935484</v>
      </c>
      <c r="C299" s="16" t="n">
        <f aca="false">C295*C297*C298+(1-B298)*B295*B297</f>
        <v>247.06797235023</v>
      </c>
      <c r="D299" s="16" t="n">
        <f aca="false">D295*D297*D298+(1-C298)*C295*C297</f>
        <v>262.93202764977</v>
      </c>
      <c r="E299" s="16" t="n">
        <f aca="false">E295*E297*E298+(1-D298)*D295*D297</f>
        <v>74.0322580645161</v>
      </c>
      <c r="F299" s="16" t="n">
        <f aca="false">F295*F297*F298+(1-E298)*E295*E297</f>
        <v>0</v>
      </c>
      <c r="G299" s="16" t="n">
        <f aca="false">G295*G297*G298+(1-F298)*F295*F297</f>
        <v>100.7</v>
      </c>
      <c r="H299" s="16" t="n">
        <f aca="false">H295*H297*H298+(1-G298)*G295*G297</f>
        <v>58.3</v>
      </c>
      <c r="O299" s="16" t="n">
        <f aca="false">SUM(B299:H299)</f>
        <v>924</v>
      </c>
    </row>
    <row r="300" customFormat="false" ht="15" hidden="false" customHeight="false" outlineLevel="0" collapsed="false">
      <c r="A300" s="21" t="s">
        <v>68</v>
      </c>
      <c r="B300" s="22" t="n">
        <f aca="false">B295*B297</f>
        <v>255</v>
      </c>
      <c r="C300" s="22" t="n">
        <f aca="false">C295*C297</f>
        <v>255</v>
      </c>
      <c r="D300" s="22" t="n">
        <f aca="false">D295*D297</f>
        <v>255</v>
      </c>
      <c r="E300" s="22" t="n">
        <f aca="false">E295*E297</f>
        <v>0</v>
      </c>
      <c r="F300" s="22" t="n">
        <f aca="false">F295*F297</f>
        <v>0</v>
      </c>
      <c r="G300" s="22" t="n">
        <f aca="false">G295*G297</f>
        <v>159</v>
      </c>
      <c r="H300" s="22" t="n">
        <f aca="false">H295*H297</f>
        <v>0</v>
      </c>
      <c r="I300" s="23"/>
      <c r="J300" s="23"/>
      <c r="K300" s="23"/>
      <c r="L300" s="23"/>
      <c r="M300" s="23"/>
      <c r="N300" s="23"/>
      <c r="O300" s="24" t="n">
        <f aca="false">SUM(B300:H300)</f>
        <v>924</v>
      </c>
      <c r="P300" s="24" t="n">
        <f aca="false">O300-O299</f>
        <v>0</v>
      </c>
    </row>
    <row r="303" customFormat="false" ht="15" hidden="false" customHeight="false" outlineLevel="0" collapsed="false">
      <c r="A303" s="8" t="s">
        <v>132</v>
      </c>
      <c r="B303" s="9" t="s">
        <v>133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customFormat="false" ht="15" hidden="false" customHeight="false" outlineLevel="0" collapsed="false">
      <c r="A304" s="6" t="s">
        <v>47</v>
      </c>
      <c r="B304" s="11" t="s">
        <v>54</v>
      </c>
      <c r="C304" s="11" t="s">
        <v>55</v>
      </c>
      <c r="O304" s="4" t="s">
        <v>56</v>
      </c>
      <c r="P304" s="4" t="s">
        <v>57</v>
      </c>
    </row>
    <row r="305" customFormat="false" ht="15" hidden="false" customHeight="false" outlineLevel="0" collapsed="false">
      <c r="A305" s="6" t="s">
        <v>58</v>
      </c>
      <c r="B305" s="12" t="n">
        <v>4185</v>
      </c>
      <c r="C305" s="13" t="s">
        <v>59</v>
      </c>
    </row>
    <row r="306" customFormat="false" ht="15" hidden="false" customHeight="false" outlineLevel="0" collapsed="false">
      <c r="A306" s="6" t="s">
        <v>60</v>
      </c>
      <c r="B306" s="14" t="n">
        <v>425</v>
      </c>
      <c r="C306" s="14" t="n">
        <v>0</v>
      </c>
    </row>
    <row r="307" customFormat="false" ht="15" hidden="false" customHeight="false" outlineLevel="0" collapsed="false">
      <c r="A307" s="6" t="s">
        <v>61</v>
      </c>
      <c r="B307" s="26" t="n">
        <f aca="false">SUMIF(Adjustments!$C$5:$C$14,B305,Adjustments!$H$5:$H$14)</f>
        <v>0</v>
      </c>
      <c r="C307" s="15" t="n">
        <v>0</v>
      </c>
    </row>
    <row r="308" customFormat="false" ht="15" hidden="false" customHeight="false" outlineLevel="0" collapsed="false">
      <c r="A308" s="4" t="s">
        <v>62</v>
      </c>
      <c r="B308" s="16" t="n">
        <f aca="false">B306+B307</f>
        <v>425</v>
      </c>
      <c r="C308" s="16" t="n">
        <f aca="false">C306+C307</f>
        <v>0</v>
      </c>
    </row>
    <row r="309" customFormat="false" ht="15" hidden="false" customHeight="false" outlineLevel="0" collapsed="false">
      <c r="A309" s="6" t="s">
        <v>63</v>
      </c>
      <c r="B309" s="17" t="n">
        <v>46202</v>
      </c>
      <c r="C309" s="18" t="s">
        <v>64</v>
      </c>
    </row>
    <row r="310" customFormat="false" ht="15" hidden="false" customHeight="false" outlineLevel="0" collapsed="false">
      <c r="A310" s="6" t="s">
        <v>65</v>
      </c>
      <c r="B310" s="19" t="n">
        <v>0.6</v>
      </c>
      <c r="C310" s="19" t="n">
        <v>0.6</v>
      </c>
    </row>
    <row r="311" customFormat="false" ht="15" hidden="false" customHeight="false" outlineLevel="0" collapsed="false">
      <c r="A311" s="6" t="s">
        <v>66</v>
      </c>
      <c r="B311" s="20" t="n">
        <f aca="false">1-DAY(B309)/DAY(EOMONTH(B309,0))</f>
        <v>0.0333333333333333</v>
      </c>
      <c r="C311" s="20" t="n">
        <v>0</v>
      </c>
    </row>
    <row r="312" customFormat="false" ht="15" hidden="false" customHeight="false" outlineLevel="0" collapsed="false">
      <c r="A312" s="4" t="s">
        <v>67</v>
      </c>
      <c r="B312" s="16" t="n">
        <f aca="false">B308*B310*B311</f>
        <v>8.5</v>
      </c>
      <c r="C312" s="16" t="n">
        <f aca="false">C308*C310*C311+(1-B311)*B308*B310</f>
        <v>246.5</v>
      </c>
      <c r="O312" s="16" t="n">
        <f aca="false">SUM(B312:C312)</f>
        <v>255</v>
      </c>
    </row>
    <row r="313" customFormat="false" ht="15" hidden="false" customHeight="false" outlineLevel="0" collapsed="false">
      <c r="A313" s="21" t="s">
        <v>68</v>
      </c>
      <c r="B313" s="22" t="n">
        <f aca="false">B308*B310</f>
        <v>255</v>
      </c>
      <c r="C313" s="22" t="n">
        <f aca="false">C308*C310</f>
        <v>0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4" t="n">
        <f aca="false">SUM(B313:C313)</f>
        <v>255</v>
      </c>
      <c r="P313" s="24" t="n">
        <f aca="false">O313-O312</f>
        <v>0</v>
      </c>
    </row>
    <row r="316" customFormat="false" ht="15" hidden="false" customHeight="false" outlineLevel="0" collapsed="false">
      <c r="A316" s="8" t="s">
        <v>134</v>
      </c>
      <c r="B316" s="9" t="s">
        <v>135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customFormat="false" ht="15" hidden="false" customHeight="false" outlineLevel="0" collapsed="false">
      <c r="A317" s="6" t="s">
        <v>47</v>
      </c>
      <c r="B317" s="11" t="s">
        <v>101</v>
      </c>
      <c r="C317" s="11" t="s">
        <v>102</v>
      </c>
      <c r="D317" s="11" t="s">
        <v>103</v>
      </c>
      <c r="E317" s="11" t="s">
        <v>104</v>
      </c>
      <c r="F317" s="11" t="s">
        <v>105</v>
      </c>
      <c r="G317" s="11" t="s">
        <v>106</v>
      </c>
      <c r="H317" s="11" t="s">
        <v>107</v>
      </c>
      <c r="I317" s="11" t="s">
        <v>87</v>
      </c>
      <c r="J317" s="11" t="s">
        <v>80</v>
      </c>
      <c r="K317" s="11" t="s">
        <v>81</v>
      </c>
      <c r="O317" s="4" t="s">
        <v>56</v>
      </c>
      <c r="P317" s="4" t="s">
        <v>57</v>
      </c>
    </row>
    <row r="318" customFormat="false" ht="15" hidden="false" customHeight="false" outlineLevel="0" collapsed="false">
      <c r="A318" s="6" t="s">
        <v>58</v>
      </c>
      <c r="B318" s="12" t="n">
        <v>3372</v>
      </c>
      <c r="C318" s="12" t="n">
        <v>3400</v>
      </c>
      <c r="D318" s="12" t="n">
        <v>3436</v>
      </c>
      <c r="E318" s="12" t="n">
        <v>3473</v>
      </c>
      <c r="F318" s="12" t="n">
        <v>3511</v>
      </c>
      <c r="G318" s="12" t="n">
        <v>3555</v>
      </c>
      <c r="H318" s="12" t="n">
        <v>3620</v>
      </c>
      <c r="I318" s="12" t="n">
        <v>3673</v>
      </c>
      <c r="J318" s="12" t="n">
        <v>3723</v>
      </c>
      <c r="K318" s="13" t="s">
        <v>59</v>
      </c>
    </row>
    <row r="319" customFormat="false" ht="15" hidden="false" customHeight="false" outlineLevel="0" collapsed="false">
      <c r="A319" s="6" t="s">
        <v>60</v>
      </c>
      <c r="B319" s="14" t="n">
        <v>425</v>
      </c>
      <c r="C319" s="14" t="n">
        <v>425</v>
      </c>
      <c r="D319" s="14" t="n">
        <v>425</v>
      </c>
      <c r="E319" s="14" t="n">
        <v>425</v>
      </c>
      <c r="F319" s="14" t="n">
        <v>425</v>
      </c>
      <c r="G319" s="14" t="n">
        <v>425</v>
      </c>
      <c r="H319" s="14" t="n">
        <v>265</v>
      </c>
      <c r="I319" s="14" t="n">
        <v>265</v>
      </c>
      <c r="J319" s="14" t="n">
        <v>265</v>
      </c>
      <c r="K319" s="14" t="n">
        <v>0</v>
      </c>
    </row>
    <row r="320" customFormat="false" ht="15" hidden="false" customHeight="false" outlineLevel="0" collapsed="false">
      <c r="A320" s="6" t="s">
        <v>61</v>
      </c>
      <c r="B320" s="15" t="n">
        <v>0</v>
      </c>
      <c r="C320" s="15" t="n">
        <v>0</v>
      </c>
      <c r="D320" s="15" t="n">
        <v>0</v>
      </c>
      <c r="E320" s="15" t="n">
        <v>0</v>
      </c>
      <c r="F320" s="15" t="n">
        <v>0</v>
      </c>
      <c r="G320" s="15" t="n">
        <v>0</v>
      </c>
      <c r="H320" s="15" t="n">
        <v>0</v>
      </c>
      <c r="I320" s="15" t="n">
        <v>0</v>
      </c>
      <c r="J320" s="15" t="n">
        <v>0</v>
      </c>
      <c r="K320" s="15" t="n">
        <v>0</v>
      </c>
    </row>
    <row r="321" customFormat="false" ht="15" hidden="false" customHeight="false" outlineLevel="0" collapsed="false">
      <c r="A321" s="4" t="s">
        <v>62</v>
      </c>
      <c r="B321" s="16" t="n">
        <f aca="false">B319+B320</f>
        <v>425</v>
      </c>
      <c r="C321" s="16" t="n">
        <f aca="false">C319+C320</f>
        <v>425</v>
      </c>
      <c r="D321" s="16" t="n">
        <f aca="false">D319+D320</f>
        <v>425</v>
      </c>
      <c r="E321" s="16" t="n">
        <f aca="false">E319+E320</f>
        <v>425</v>
      </c>
      <c r="F321" s="16" t="n">
        <f aca="false">F319+F320</f>
        <v>425</v>
      </c>
      <c r="G321" s="16" t="n">
        <f aca="false">G319+G320</f>
        <v>425</v>
      </c>
      <c r="H321" s="16" t="n">
        <f aca="false">H319+H320</f>
        <v>265</v>
      </c>
      <c r="I321" s="16" t="n">
        <f aca="false">I319+I320</f>
        <v>265</v>
      </c>
      <c r="J321" s="16" t="n">
        <f aca="false">J319+J320</f>
        <v>265</v>
      </c>
      <c r="K321" s="16" t="n">
        <f aca="false">K319+K320</f>
        <v>0</v>
      </c>
    </row>
    <row r="322" customFormat="false" ht="15" hidden="false" customHeight="false" outlineLevel="0" collapsed="false">
      <c r="A322" s="6" t="s">
        <v>63</v>
      </c>
      <c r="B322" s="17" t="n">
        <v>45707</v>
      </c>
      <c r="C322" s="17" t="n">
        <v>45735</v>
      </c>
      <c r="D322" s="17" t="n">
        <v>45766</v>
      </c>
      <c r="E322" s="17" t="n">
        <v>45796</v>
      </c>
      <c r="F322" s="17" t="n">
        <v>45827</v>
      </c>
      <c r="G322" s="17" t="n">
        <v>45857</v>
      </c>
      <c r="H322" s="17" t="n">
        <v>45895</v>
      </c>
      <c r="I322" s="17" t="n">
        <v>45926</v>
      </c>
      <c r="J322" s="17" t="n">
        <v>45956</v>
      </c>
      <c r="K322" s="18" t="s">
        <v>64</v>
      </c>
    </row>
    <row r="323" customFormat="false" ht="15" hidden="false" customHeight="false" outlineLevel="0" collapsed="false">
      <c r="A323" s="6" t="s">
        <v>65</v>
      </c>
      <c r="B323" s="19" t="n">
        <v>0.6</v>
      </c>
      <c r="C323" s="19" t="n">
        <v>0.6</v>
      </c>
      <c r="D323" s="19" t="n">
        <v>0.6</v>
      </c>
      <c r="E323" s="19" t="n">
        <v>0.6</v>
      </c>
      <c r="F323" s="19" t="n">
        <v>0.6</v>
      </c>
      <c r="G323" s="19" t="n">
        <v>0.6</v>
      </c>
      <c r="H323" s="19" t="n">
        <v>0.6</v>
      </c>
      <c r="I323" s="19" t="n">
        <v>0.6</v>
      </c>
      <c r="J323" s="19" t="n">
        <v>0.6</v>
      </c>
      <c r="K323" s="19" t="n">
        <v>0.6</v>
      </c>
    </row>
    <row r="324" customFormat="false" ht="15" hidden="false" customHeight="false" outlineLevel="0" collapsed="false">
      <c r="A324" s="6" t="s">
        <v>66</v>
      </c>
      <c r="B324" s="20" t="n">
        <f aca="false">1-DAY(B322)/DAY(EOMONTH(B322,0))</f>
        <v>0.321428571428571</v>
      </c>
      <c r="C324" s="20" t="n">
        <f aca="false">1-DAY(C322)/DAY(EOMONTH(C322,0))</f>
        <v>0.387096774193548</v>
      </c>
      <c r="D324" s="20" t="n">
        <f aca="false">1-DAY(D322)/DAY(EOMONTH(D322,0))</f>
        <v>0.366666666666667</v>
      </c>
      <c r="E324" s="20" t="n">
        <f aca="false">1-DAY(E322)/DAY(EOMONTH(E322,0))</f>
        <v>0.387096774193548</v>
      </c>
      <c r="F324" s="20" t="n">
        <f aca="false">1-DAY(F322)/DAY(EOMONTH(F322,0))</f>
        <v>0.366666666666667</v>
      </c>
      <c r="G324" s="20" t="n">
        <f aca="false">1-DAY(G322)/DAY(EOMONTH(G322,0))</f>
        <v>0.387096774193548</v>
      </c>
      <c r="H324" s="20" t="n">
        <f aca="false">1-DAY(H322)/DAY(EOMONTH(H322,0))</f>
        <v>0.161290322580645</v>
      </c>
      <c r="I324" s="20" t="n">
        <f aca="false">1-DAY(I322)/DAY(EOMONTH(I322,0))</f>
        <v>0.133333333333333</v>
      </c>
      <c r="J324" s="20" t="n">
        <f aca="false">1-DAY(J322)/DAY(EOMONTH(J322,0))</f>
        <v>0.161290322580645</v>
      </c>
      <c r="K324" s="20" t="n">
        <v>0</v>
      </c>
    </row>
    <row r="325" customFormat="false" ht="15" hidden="false" customHeight="false" outlineLevel="0" collapsed="false">
      <c r="A325" s="4" t="s">
        <v>67</v>
      </c>
      <c r="B325" s="16" t="n">
        <f aca="false">B321*B323*B324</f>
        <v>81.9642857142857</v>
      </c>
      <c r="C325" s="16" t="n">
        <f aca="false">C321*C323*C324+(1-B324)*B321*B323</f>
        <v>271.745391705069</v>
      </c>
      <c r="D325" s="16" t="n">
        <f aca="false">D321*D323*D324+(1-C324)*C321*C323</f>
        <v>249.790322580645</v>
      </c>
      <c r="E325" s="16" t="n">
        <f aca="false">E321*E323*E324+(1-D324)*D321*D323</f>
        <v>260.209677419355</v>
      </c>
      <c r="F325" s="16" t="n">
        <f aca="false">F321*F323*F324+(1-E324)*E321*E323</f>
        <v>249.790322580645</v>
      </c>
      <c r="G325" s="16" t="n">
        <f aca="false">G321*G323*G324+(1-F324)*F321*F323</f>
        <v>260.209677419355</v>
      </c>
      <c r="H325" s="16" t="n">
        <f aca="false">H321*H323*H324+(1-G324)*G321*G323</f>
        <v>181.935483870968</v>
      </c>
      <c r="I325" s="16" t="n">
        <f aca="false">I321*I323*I324+(1-H324)*H321*H323</f>
        <v>154.554838709677</v>
      </c>
      <c r="J325" s="16" t="n">
        <f aca="false">J321*J323*J324+(1-I324)*I321*I323</f>
        <v>163.445161290323</v>
      </c>
      <c r="K325" s="16" t="n">
        <f aca="false">K321*K323*K324+(1-J324)*J321*J323</f>
        <v>133.354838709677</v>
      </c>
      <c r="O325" s="16" t="n">
        <f aca="false">SUM(B325:K325)</f>
        <v>2007</v>
      </c>
    </row>
    <row r="326" customFormat="false" ht="15" hidden="false" customHeight="false" outlineLevel="0" collapsed="false">
      <c r="A326" s="21" t="s">
        <v>68</v>
      </c>
      <c r="B326" s="22" t="n">
        <f aca="false">B321*B323</f>
        <v>255</v>
      </c>
      <c r="C326" s="22" t="n">
        <f aca="false">C321*C323</f>
        <v>255</v>
      </c>
      <c r="D326" s="22" t="n">
        <f aca="false">D321*D323</f>
        <v>255</v>
      </c>
      <c r="E326" s="22" t="n">
        <f aca="false">E321*E323</f>
        <v>255</v>
      </c>
      <c r="F326" s="22" t="n">
        <f aca="false">F321*F323</f>
        <v>255</v>
      </c>
      <c r="G326" s="22" t="n">
        <f aca="false">G321*G323</f>
        <v>255</v>
      </c>
      <c r="H326" s="22" t="n">
        <f aca="false">H321*H323</f>
        <v>159</v>
      </c>
      <c r="I326" s="22" t="n">
        <f aca="false">I321*I323</f>
        <v>159</v>
      </c>
      <c r="J326" s="22" t="n">
        <f aca="false">J321*J323</f>
        <v>159</v>
      </c>
      <c r="K326" s="22" t="n">
        <f aca="false">K321*K323</f>
        <v>0</v>
      </c>
      <c r="L326" s="23"/>
      <c r="M326" s="23"/>
      <c r="N326" s="23"/>
      <c r="O326" s="24" t="n">
        <f aca="false">SUM(B326:K326)</f>
        <v>2007</v>
      </c>
      <c r="P326" s="24" t="n">
        <f aca="false">O326-O325</f>
        <v>0</v>
      </c>
    </row>
    <row r="329" customFormat="false" ht="15" hidden="false" customHeight="false" outlineLevel="0" collapsed="false">
      <c r="A329" s="8" t="s">
        <v>136</v>
      </c>
      <c r="B329" s="9" t="s">
        <v>137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customFormat="false" ht="15" hidden="false" customHeight="false" outlineLevel="0" collapsed="false">
      <c r="A330" s="6" t="s">
        <v>47</v>
      </c>
      <c r="B330" s="11" t="s">
        <v>72</v>
      </c>
      <c r="C330" s="11" t="s">
        <v>73</v>
      </c>
      <c r="D330" s="11" t="s">
        <v>74</v>
      </c>
      <c r="E330" s="11" t="s">
        <v>75</v>
      </c>
      <c r="F330" s="11" t="s">
        <v>76</v>
      </c>
      <c r="O330" s="4" t="s">
        <v>56</v>
      </c>
      <c r="P330" s="4" t="s">
        <v>57</v>
      </c>
    </row>
    <row r="331" customFormat="false" ht="15" hidden="false" customHeight="false" outlineLevel="0" collapsed="false">
      <c r="A331" s="6" t="s">
        <v>58</v>
      </c>
      <c r="B331" s="12" t="n">
        <v>3085</v>
      </c>
      <c r="C331" s="12" t="n">
        <v>3141</v>
      </c>
      <c r="D331" s="12" t="n">
        <v>3188</v>
      </c>
      <c r="E331" s="12" t="n">
        <v>3232</v>
      </c>
      <c r="F331" s="13" t="s">
        <v>59</v>
      </c>
    </row>
    <row r="332" customFormat="false" ht="15" hidden="false" customHeight="false" outlineLevel="0" collapsed="false">
      <c r="A332" s="6" t="s">
        <v>60</v>
      </c>
      <c r="B332" s="14" t="n">
        <v>425</v>
      </c>
      <c r="C332" s="14" t="n">
        <v>425</v>
      </c>
      <c r="D332" s="14" t="n">
        <v>425</v>
      </c>
      <c r="E332" s="14" t="n">
        <v>425</v>
      </c>
      <c r="F332" s="14" t="n">
        <v>0</v>
      </c>
    </row>
    <row r="333" customFormat="false" ht="15" hidden="false" customHeight="false" outlineLevel="0" collapsed="false">
      <c r="A333" s="6" t="s">
        <v>61</v>
      </c>
      <c r="B333" s="15" t="n">
        <v>0</v>
      </c>
      <c r="C333" s="15" t="n">
        <v>0</v>
      </c>
      <c r="D333" s="15" t="n">
        <v>0</v>
      </c>
      <c r="E333" s="15" t="n">
        <v>0</v>
      </c>
      <c r="F333" s="15" t="n">
        <v>0</v>
      </c>
    </row>
    <row r="334" customFormat="false" ht="15" hidden="false" customHeight="false" outlineLevel="0" collapsed="false">
      <c r="A334" s="4" t="s">
        <v>62</v>
      </c>
      <c r="B334" s="16" t="n">
        <f aca="false">B332+B333</f>
        <v>425</v>
      </c>
      <c r="C334" s="16" t="n">
        <f aca="false">C332+C333</f>
        <v>425</v>
      </c>
      <c r="D334" s="16" t="n">
        <f aca="false">D332+D333</f>
        <v>425</v>
      </c>
      <c r="E334" s="16" t="n">
        <f aca="false">E332+E333</f>
        <v>425</v>
      </c>
      <c r="F334" s="16" t="n">
        <f aca="false">F332+F333</f>
        <v>0</v>
      </c>
    </row>
    <row r="335" customFormat="false" ht="15" hidden="false" customHeight="false" outlineLevel="0" collapsed="false">
      <c r="A335" s="6" t="s">
        <v>63</v>
      </c>
      <c r="B335" s="17" t="n">
        <v>45477</v>
      </c>
      <c r="C335" s="17" t="n">
        <v>45521</v>
      </c>
      <c r="D335" s="17" t="n">
        <v>45552</v>
      </c>
      <c r="E335" s="17" t="n">
        <v>45583</v>
      </c>
      <c r="F335" s="18" t="s">
        <v>64</v>
      </c>
    </row>
    <row r="336" customFormat="false" ht="15" hidden="false" customHeight="false" outlineLevel="0" collapsed="false">
      <c r="A336" s="6" t="s">
        <v>65</v>
      </c>
      <c r="B336" s="19" t="n">
        <v>0.6</v>
      </c>
      <c r="C336" s="19" t="n">
        <v>0.6</v>
      </c>
      <c r="D336" s="19" t="n">
        <v>0.6</v>
      </c>
      <c r="E336" s="19" t="n">
        <v>0.6</v>
      </c>
      <c r="F336" s="19" t="n">
        <v>0.6</v>
      </c>
    </row>
    <row r="337" customFormat="false" ht="15" hidden="false" customHeight="false" outlineLevel="0" collapsed="false">
      <c r="A337" s="6" t="s">
        <v>66</v>
      </c>
      <c r="B337" s="20" t="n">
        <f aca="false">1-DAY(B335)/DAY(EOMONTH(B335,0))</f>
        <v>0.870967741935484</v>
      </c>
      <c r="C337" s="20" t="n">
        <f aca="false">1-DAY(C335)/DAY(EOMONTH(C335,0))</f>
        <v>0.451612903225807</v>
      </c>
      <c r="D337" s="20" t="n">
        <f aca="false">1-DAY(D335)/DAY(EOMONTH(D335,0))</f>
        <v>0.433333333333333</v>
      </c>
      <c r="E337" s="20" t="n">
        <f aca="false">1-DAY(E335)/DAY(EOMONTH(E335,0))</f>
        <v>0.419354838709677</v>
      </c>
      <c r="F337" s="20" t="n">
        <v>0</v>
      </c>
    </row>
    <row r="338" customFormat="false" ht="15" hidden="false" customHeight="false" outlineLevel="0" collapsed="false">
      <c r="A338" s="4" t="s">
        <v>67</v>
      </c>
      <c r="B338" s="16" t="n">
        <f aca="false">B334*B336*B337</f>
        <v>222.096774193548</v>
      </c>
      <c r="C338" s="16" t="n">
        <f aca="false">C334*C336*C337+(1-B337)*B334*B336</f>
        <v>148.064516129032</v>
      </c>
      <c r="D338" s="16" t="n">
        <f aca="false">D334*D336*D337+(1-C337)*C334*C336</f>
        <v>250.338709677419</v>
      </c>
      <c r="E338" s="16" t="n">
        <f aca="false">E334*E336*E337+(1-D337)*D334*D336</f>
        <v>251.435483870968</v>
      </c>
      <c r="F338" s="16" t="n">
        <f aca="false">F334*F336*F337+(1-E337)*E334*E336</f>
        <v>148.064516129032</v>
      </c>
      <c r="O338" s="16" t="n">
        <f aca="false">SUM(B338:F338)</f>
        <v>1020</v>
      </c>
    </row>
    <row r="339" customFormat="false" ht="15" hidden="false" customHeight="false" outlineLevel="0" collapsed="false">
      <c r="A339" s="21" t="s">
        <v>68</v>
      </c>
      <c r="B339" s="22" t="n">
        <f aca="false">B334*B336</f>
        <v>255</v>
      </c>
      <c r="C339" s="22" t="n">
        <f aca="false">C334*C336</f>
        <v>255</v>
      </c>
      <c r="D339" s="22" t="n">
        <f aca="false">D334*D336</f>
        <v>255</v>
      </c>
      <c r="E339" s="22" t="n">
        <f aca="false">E334*E336</f>
        <v>255</v>
      </c>
      <c r="F339" s="22" t="n">
        <f aca="false">F334*F336</f>
        <v>0</v>
      </c>
      <c r="G339" s="23"/>
      <c r="H339" s="23"/>
      <c r="I339" s="23"/>
      <c r="J339" s="23"/>
      <c r="K339" s="23"/>
      <c r="L339" s="23"/>
      <c r="M339" s="23"/>
      <c r="N339" s="23"/>
      <c r="O339" s="24" t="n">
        <f aca="false">SUM(B339:F339)</f>
        <v>1020</v>
      </c>
      <c r="P339" s="24" t="n">
        <f aca="false">O339-O338</f>
        <v>0</v>
      </c>
    </row>
    <row r="342" customFormat="false" ht="15" hidden="false" customHeight="false" outlineLevel="0" collapsed="false">
      <c r="A342" s="8" t="s">
        <v>138</v>
      </c>
      <c r="B342" s="9" t="s">
        <v>139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customFormat="false" ht="15" hidden="false" customHeight="false" outlineLevel="0" collapsed="false">
      <c r="A343" s="6" t="s">
        <v>47</v>
      </c>
      <c r="B343" s="11" t="s">
        <v>107</v>
      </c>
      <c r="C343" s="11" t="s">
        <v>87</v>
      </c>
      <c r="D343" s="11" t="s">
        <v>80</v>
      </c>
      <c r="E343" s="11" t="s">
        <v>81</v>
      </c>
      <c r="F343" s="11" t="s">
        <v>48</v>
      </c>
      <c r="G343" s="11" t="s">
        <v>49</v>
      </c>
      <c r="H343" s="11" t="s">
        <v>50</v>
      </c>
      <c r="I343" s="11" t="s">
        <v>51</v>
      </c>
      <c r="J343" s="11" t="s">
        <v>52</v>
      </c>
      <c r="K343" s="11" t="s">
        <v>53</v>
      </c>
      <c r="O343" s="4" t="s">
        <v>56</v>
      </c>
      <c r="P343" s="4" t="s">
        <v>57</v>
      </c>
    </row>
    <row r="344" customFormat="false" ht="15" hidden="false" customHeight="false" outlineLevel="0" collapsed="false">
      <c r="A344" s="6" t="s">
        <v>58</v>
      </c>
      <c r="B344" s="12" t="n">
        <v>3599</v>
      </c>
      <c r="C344" s="12" t="n">
        <v>3643</v>
      </c>
      <c r="D344" s="12" t="n">
        <v>3696</v>
      </c>
      <c r="E344" s="12" t="n">
        <v>3749</v>
      </c>
      <c r="F344" s="12" t="n">
        <v>3828</v>
      </c>
      <c r="G344" s="12" t="n">
        <v>3885</v>
      </c>
      <c r="H344" s="12" t="n">
        <v>3937</v>
      </c>
      <c r="I344" s="12" t="n">
        <v>3985</v>
      </c>
      <c r="J344" s="12" t="n">
        <v>4044</v>
      </c>
      <c r="K344" s="13" t="s">
        <v>59</v>
      </c>
    </row>
    <row r="345" customFormat="false" ht="15" hidden="false" customHeight="false" outlineLevel="0" collapsed="false">
      <c r="A345" s="6" t="s">
        <v>60</v>
      </c>
      <c r="B345" s="14" t="n">
        <v>425</v>
      </c>
      <c r="C345" s="14" t="n">
        <v>425</v>
      </c>
      <c r="D345" s="14" t="n">
        <v>425</v>
      </c>
      <c r="E345" s="14" t="n">
        <v>425</v>
      </c>
      <c r="F345" s="14" t="n">
        <v>265</v>
      </c>
      <c r="G345" s="14" t="n">
        <v>265</v>
      </c>
      <c r="H345" s="14" t="n">
        <v>265</v>
      </c>
      <c r="I345" s="14" t="n">
        <v>265</v>
      </c>
      <c r="J345" s="14" t="n">
        <v>265</v>
      </c>
      <c r="K345" s="14" t="n">
        <v>0</v>
      </c>
    </row>
    <row r="346" customFormat="false" ht="15" hidden="false" customHeight="false" outlineLevel="0" collapsed="false">
      <c r="A346" s="6" t="s">
        <v>61</v>
      </c>
      <c r="B346" s="15" t="n">
        <v>0</v>
      </c>
      <c r="C346" s="26" t="n">
        <f aca="false">SUMIF(Adjustments!$C$5:$C$14,C344,Adjustments!$H$5:$H$14)</f>
        <v>0</v>
      </c>
      <c r="D346" s="15" t="n">
        <v>0</v>
      </c>
      <c r="E346" s="15" t="n">
        <v>0</v>
      </c>
      <c r="F346" s="15" t="n">
        <v>0</v>
      </c>
      <c r="G346" s="15" t="n">
        <v>0</v>
      </c>
      <c r="H346" s="15" t="n">
        <v>0</v>
      </c>
      <c r="I346" s="15" t="n">
        <v>0</v>
      </c>
      <c r="J346" s="15" t="n">
        <v>0</v>
      </c>
      <c r="K346" s="15" t="n">
        <v>0</v>
      </c>
    </row>
    <row r="347" customFormat="false" ht="15" hidden="false" customHeight="false" outlineLevel="0" collapsed="false">
      <c r="A347" s="4" t="s">
        <v>62</v>
      </c>
      <c r="B347" s="16" t="n">
        <f aca="false">B345+B346</f>
        <v>425</v>
      </c>
      <c r="C347" s="16" t="n">
        <f aca="false">C345+C346</f>
        <v>425</v>
      </c>
      <c r="D347" s="16" t="n">
        <f aca="false">D345+D346</f>
        <v>425</v>
      </c>
      <c r="E347" s="16" t="n">
        <f aca="false">E345+E346</f>
        <v>425</v>
      </c>
      <c r="F347" s="16" t="n">
        <f aca="false">F345+F346</f>
        <v>265</v>
      </c>
      <c r="G347" s="16" t="n">
        <f aca="false">G345+G346</f>
        <v>265</v>
      </c>
      <c r="H347" s="16" t="n">
        <f aca="false">H345+H346</f>
        <v>265</v>
      </c>
      <c r="I347" s="16" t="n">
        <f aca="false">I345+I346</f>
        <v>265</v>
      </c>
      <c r="J347" s="16" t="n">
        <f aca="false">J345+J346</f>
        <v>265</v>
      </c>
      <c r="K347" s="16" t="n">
        <f aca="false">K345+K346</f>
        <v>0</v>
      </c>
    </row>
    <row r="348" customFormat="false" ht="15" hidden="false" customHeight="false" outlineLevel="0" collapsed="false">
      <c r="A348" s="6" t="s">
        <v>63</v>
      </c>
      <c r="B348" s="17" t="n">
        <v>45883</v>
      </c>
      <c r="C348" s="17" t="n">
        <v>45908</v>
      </c>
      <c r="D348" s="17" t="n">
        <v>45938</v>
      </c>
      <c r="E348" s="17" t="n">
        <v>45969</v>
      </c>
      <c r="F348" s="17" t="n">
        <v>46012</v>
      </c>
      <c r="G348" s="17" t="n">
        <v>46043</v>
      </c>
      <c r="H348" s="17" t="n">
        <v>46074</v>
      </c>
      <c r="I348" s="17" t="n">
        <v>46102</v>
      </c>
      <c r="J348" s="17" t="n">
        <v>46133</v>
      </c>
      <c r="K348" s="18" t="s">
        <v>64</v>
      </c>
    </row>
    <row r="349" customFormat="false" ht="15" hidden="false" customHeight="false" outlineLevel="0" collapsed="false">
      <c r="A349" s="6" t="s">
        <v>65</v>
      </c>
      <c r="B349" s="19" t="n">
        <v>0.6</v>
      </c>
      <c r="C349" s="19" t="n">
        <v>0.6</v>
      </c>
      <c r="D349" s="19" t="n">
        <v>0.6</v>
      </c>
      <c r="E349" s="19" t="n">
        <v>0.6</v>
      </c>
      <c r="F349" s="19" t="n">
        <v>0.6</v>
      </c>
      <c r="G349" s="19" t="n">
        <v>0.6</v>
      </c>
      <c r="H349" s="19" t="n">
        <v>0.6</v>
      </c>
      <c r="I349" s="19" t="n">
        <v>0.6</v>
      </c>
      <c r="J349" s="19" t="n">
        <v>0.6</v>
      </c>
      <c r="K349" s="19" t="n">
        <v>0.6</v>
      </c>
    </row>
    <row r="350" customFormat="false" ht="15" hidden="false" customHeight="false" outlineLevel="0" collapsed="false">
      <c r="A350" s="6" t="s">
        <v>66</v>
      </c>
      <c r="B350" s="20" t="n">
        <f aca="false">1-DAY(B348)/DAY(EOMONTH(B348,0))</f>
        <v>0.548387096774194</v>
      </c>
      <c r="C350" s="20" t="n">
        <f aca="false">1-DAY(C348)/DAY(EOMONTH(C348,0))</f>
        <v>0.733333333333333</v>
      </c>
      <c r="D350" s="20" t="n">
        <f aca="false">1-DAY(D348)/DAY(EOMONTH(D348,0))</f>
        <v>0.741935483870968</v>
      </c>
      <c r="E350" s="20" t="n">
        <f aca="false">1-DAY(E348)/DAY(EOMONTH(E348,0))</f>
        <v>0.733333333333333</v>
      </c>
      <c r="F350" s="20" t="n">
        <f aca="false">1-DAY(F348)/DAY(EOMONTH(F348,0))</f>
        <v>0.32258064516129</v>
      </c>
      <c r="G350" s="20" t="n">
        <f aca="false">1-DAY(G348)/DAY(EOMONTH(G348,0))</f>
        <v>0.32258064516129</v>
      </c>
      <c r="H350" s="20" t="n">
        <f aca="false">1-DAY(H348)/DAY(EOMONTH(H348,0))</f>
        <v>0.25</v>
      </c>
      <c r="I350" s="20" t="n">
        <f aca="false">1-DAY(I348)/DAY(EOMONTH(I348,0))</f>
        <v>0.32258064516129</v>
      </c>
      <c r="J350" s="20" t="n">
        <f aca="false">1-DAY(J348)/DAY(EOMONTH(J348,0))</f>
        <v>0.3</v>
      </c>
      <c r="K350" s="20" t="n">
        <v>0</v>
      </c>
    </row>
    <row r="351" customFormat="false" ht="15" hidden="false" customHeight="false" outlineLevel="0" collapsed="false">
      <c r="A351" s="4" t="s">
        <v>67</v>
      </c>
      <c r="B351" s="16" t="n">
        <f aca="false">B347*B349*B350</f>
        <v>139.838709677419</v>
      </c>
      <c r="C351" s="16" t="n">
        <f aca="false">C347*C349*C350+(1-B350)*B347*B349</f>
        <v>302.161290322581</v>
      </c>
      <c r="D351" s="16" t="n">
        <f aca="false">D347*D349*D350+(1-C350)*C347*C349</f>
        <v>257.193548387097</v>
      </c>
      <c r="E351" s="16" t="n">
        <f aca="false">E347*E349*E350+(1-D350)*D347*D349</f>
        <v>252.806451612903</v>
      </c>
      <c r="F351" s="16" t="n">
        <f aca="false">F347*F349*F350+(1-E350)*E347*E349</f>
        <v>119.290322580645</v>
      </c>
      <c r="G351" s="16" t="n">
        <f aca="false">G347*G349*G350+(1-F350)*F347*F349</f>
        <v>159</v>
      </c>
      <c r="H351" s="16" t="n">
        <f aca="false">H347*H349*H350+(1-G350)*G347*G349</f>
        <v>147.459677419355</v>
      </c>
      <c r="I351" s="16" t="n">
        <f aca="false">I347*I349*I350+(1-H350)*H347*H349</f>
        <v>170.540322580645</v>
      </c>
      <c r="J351" s="16" t="n">
        <f aca="false">J347*J349*J350+(1-I350)*I347*I349</f>
        <v>155.409677419355</v>
      </c>
      <c r="K351" s="16" t="n">
        <f aca="false">K347*K349*K350+(1-J350)*J347*J349</f>
        <v>111.3</v>
      </c>
      <c r="O351" s="16" t="n">
        <f aca="false">SUM(B351:K351)</f>
        <v>1815</v>
      </c>
    </row>
    <row r="352" customFormat="false" ht="15" hidden="false" customHeight="false" outlineLevel="0" collapsed="false">
      <c r="A352" s="21" t="s">
        <v>68</v>
      </c>
      <c r="B352" s="22" t="n">
        <f aca="false">B347*B349</f>
        <v>255</v>
      </c>
      <c r="C352" s="22" t="n">
        <f aca="false">C347*C349</f>
        <v>255</v>
      </c>
      <c r="D352" s="22" t="n">
        <f aca="false">D347*D349</f>
        <v>255</v>
      </c>
      <c r="E352" s="22" t="n">
        <f aca="false">E347*E349</f>
        <v>255</v>
      </c>
      <c r="F352" s="22" t="n">
        <f aca="false">F347*F349</f>
        <v>159</v>
      </c>
      <c r="G352" s="22" t="n">
        <f aca="false">G347*G349</f>
        <v>159</v>
      </c>
      <c r="H352" s="22" t="n">
        <f aca="false">H347*H349</f>
        <v>159</v>
      </c>
      <c r="I352" s="22" t="n">
        <f aca="false">I347*I349</f>
        <v>159</v>
      </c>
      <c r="J352" s="22" t="n">
        <f aca="false">J347*J349</f>
        <v>159</v>
      </c>
      <c r="K352" s="22" t="n">
        <f aca="false">K347*K349</f>
        <v>0</v>
      </c>
      <c r="L352" s="23"/>
      <c r="M352" s="23"/>
      <c r="N352" s="23"/>
      <c r="O352" s="24" t="n">
        <f aca="false">SUM(B352:K352)</f>
        <v>1815</v>
      </c>
      <c r="P352" s="24" t="n">
        <f aca="false">O352-O351</f>
        <v>0</v>
      </c>
    </row>
    <row r="355" customFormat="false" ht="15" hidden="false" customHeight="false" outlineLevel="0" collapsed="false">
      <c r="A355" s="3" t="s">
        <v>140</v>
      </c>
    </row>
    <row r="356" customFormat="false" ht="15" hidden="false" customHeight="false" outlineLevel="0" collapsed="false">
      <c r="A356" s="7" t="s">
        <v>141</v>
      </c>
    </row>
    <row r="357" customFormat="false" ht="15" hidden="false" customHeight="false" outlineLevel="0" collapsed="false">
      <c r="A357" s="6" t="s">
        <v>142</v>
      </c>
      <c r="B357" s="7" t="s">
        <v>143</v>
      </c>
    </row>
    <row r="358" customFormat="false" ht="15" hidden="false" customHeight="false" outlineLevel="0" collapsed="false">
      <c r="A358" s="6" t="s">
        <v>144</v>
      </c>
      <c r="B358" s="7" t="s">
        <v>145</v>
      </c>
    </row>
    <row r="359" customFormat="false" ht="15" hidden="false" customHeight="false" outlineLevel="0" collapsed="false">
      <c r="A359" s="6" t="s">
        <v>146</v>
      </c>
      <c r="B359" s="7" t="s">
        <v>147</v>
      </c>
    </row>
    <row r="360" customFormat="false" ht="15" hidden="false" customHeight="false" outlineLevel="0" collapsed="false">
      <c r="A360" s="6" t="s">
        <v>148</v>
      </c>
      <c r="B360" s="7" t="s">
        <v>149</v>
      </c>
    </row>
    <row r="361" customFormat="false" ht="15" hidden="false" customHeight="false" outlineLevel="0" collapsed="false">
      <c r="A361" s="6" t="s">
        <v>150</v>
      </c>
      <c r="B361" s="7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6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27" t="s">
        <v>154</v>
      </c>
      <c r="B4" s="27" t="s">
        <v>155</v>
      </c>
      <c r="C4" s="27" t="s">
        <v>58</v>
      </c>
      <c r="D4" s="27" t="s">
        <v>156</v>
      </c>
      <c r="E4" s="27" t="s">
        <v>157</v>
      </c>
      <c r="F4" s="27" t="s">
        <v>62</v>
      </c>
      <c r="G4" s="27" t="s">
        <v>158</v>
      </c>
      <c r="H4" s="27" t="s">
        <v>159</v>
      </c>
    </row>
    <row r="5" customFormat="false" ht="15" hidden="false" customHeight="false" outlineLevel="0" collapsed="false">
      <c r="A5" s="6" t="s">
        <v>160</v>
      </c>
      <c r="B5" s="6" t="s">
        <v>78</v>
      </c>
      <c r="C5" s="28" t="n">
        <v>3902</v>
      </c>
      <c r="D5" s="29" t="n">
        <v>46055</v>
      </c>
      <c r="E5" s="6" t="s">
        <v>161</v>
      </c>
      <c r="F5" s="30" t="n">
        <v>-212.5</v>
      </c>
      <c r="G5" s="31" t="s">
        <v>162</v>
      </c>
      <c r="H5" s="15" t="n">
        <f aca="false">IF(G5="Y",F5,0)</f>
        <v>0</v>
      </c>
    </row>
    <row r="6" customFormat="false" ht="15" hidden="false" customHeight="false" outlineLevel="0" collapsed="false">
      <c r="A6" s="6" t="s">
        <v>163</v>
      </c>
      <c r="B6" s="6" t="s">
        <v>92</v>
      </c>
      <c r="C6" s="28" t="n">
        <v>4085</v>
      </c>
      <c r="D6" s="29" t="n">
        <v>46155</v>
      </c>
      <c r="E6" s="6" t="s">
        <v>164</v>
      </c>
      <c r="F6" s="30" t="n">
        <v>-160</v>
      </c>
      <c r="G6" s="31" t="s">
        <v>162</v>
      </c>
      <c r="H6" s="15" t="n">
        <f aca="false">IF(G6="Y",F6,0)</f>
        <v>0</v>
      </c>
    </row>
    <row r="7" customFormat="false" ht="15" hidden="false" customHeight="false" outlineLevel="0" collapsed="false">
      <c r="A7" s="6" t="s">
        <v>165</v>
      </c>
      <c r="B7" s="6" t="s">
        <v>118</v>
      </c>
      <c r="C7" s="28" t="n">
        <v>4109</v>
      </c>
      <c r="D7" s="29" t="n">
        <v>46153</v>
      </c>
      <c r="E7" s="6" t="s">
        <v>166</v>
      </c>
      <c r="F7" s="30" t="n">
        <v>425</v>
      </c>
      <c r="G7" s="31" t="s">
        <v>162</v>
      </c>
      <c r="H7" s="15" t="n">
        <f aca="false">IF(G7="Y",F7,0)</f>
        <v>0</v>
      </c>
    </row>
    <row r="8" customFormat="false" ht="15" hidden="false" customHeight="false" outlineLevel="0" collapsed="false">
      <c r="A8" s="6" t="s">
        <v>167</v>
      </c>
      <c r="B8" s="6" t="s">
        <v>118</v>
      </c>
      <c r="C8" s="28" t="n">
        <v>4109</v>
      </c>
      <c r="D8" s="29" t="n">
        <v>46153</v>
      </c>
      <c r="E8" s="6" t="s">
        <v>168</v>
      </c>
      <c r="F8" s="30" t="n">
        <v>-175</v>
      </c>
      <c r="G8" s="31" t="s">
        <v>162</v>
      </c>
      <c r="H8" s="15" t="n">
        <f aca="false">IF(G8="Y",F8,0)</f>
        <v>0</v>
      </c>
    </row>
    <row r="9" customFormat="false" ht="15" hidden="false" customHeight="false" outlineLevel="0" collapsed="false">
      <c r="A9" s="6" t="s">
        <v>169</v>
      </c>
      <c r="B9" s="6" t="s">
        <v>118</v>
      </c>
      <c r="C9" s="28" t="n">
        <v>4109</v>
      </c>
      <c r="D9" s="29" t="n">
        <v>46153</v>
      </c>
      <c r="E9" s="6" t="s">
        <v>170</v>
      </c>
      <c r="F9" s="30" t="n">
        <v>-50</v>
      </c>
      <c r="G9" s="31" t="s">
        <v>162</v>
      </c>
      <c r="H9" s="15" t="n">
        <f aca="false">IF(G9="Y",F9,0)</f>
        <v>0</v>
      </c>
    </row>
    <row r="10" customFormat="false" ht="15" hidden="false" customHeight="false" outlineLevel="0" collapsed="false">
      <c r="A10" s="6" t="s">
        <v>171</v>
      </c>
      <c r="B10" s="6" t="s">
        <v>120</v>
      </c>
      <c r="C10" s="28" t="n">
        <v>4083</v>
      </c>
      <c r="D10" s="29" t="n">
        <v>46155</v>
      </c>
      <c r="E10" s="6" t="s">
        <v>172</v>
      </c>
      <c r="F10" s="30" t="n">
        <v>-70</v>
      </c>
      <c r="G10" s="31" t="s">
        <v>162</v>
      </c>
      <c r="H10" s="15" t="n">
        <f aca="false">IF(G10="Y",F10,0)</f>
        <v>0</v>
      </c>
    </row>
    <row r="11" customFormat="false" ht="15" hidden="false" customHeight="false" outlineLevel="0" collapsed="false">
      <c r="A11" s="6" t="s">
        <v>173</v>
      </c>
      <c r="B11" s="6" t="s">
        <v>126</v>
      </c>
      <c r="C11" s="28" t="n">
        <v>4157</v>
      </c>
      <c r="D11" s="29" t="n">
        <v>46188</v>
      </c>
      <c r="E11" s="6" t="s">
        <v>174</v>
      </c>
      <c r="F11" s="30" t="n">
        <v>-160</v>
      </c>
      <c r="G11" s="31" t="s">
        <v>162</v>
      </c>
      <c r="H11" s="15" t="n">
        <f aca="false">IF(G11="Y",F11,0)</f>
        <v>0</v>
      </c>
    </row>
    <row r="12" customFormat="false" ht="15" hidden="false" customHeight="false" outlineLevel="0" collapsed="false">
      <c r="A12" s="6" t="s">
        <v>175</v>
      </c>
      <c r="B12" s="6" t="s">
        <v>130</v>
      </c>
      <c r="C12" s="28" t="n">
        <v>4149</v>
      </c>
      <c r="D12" s="29" t="n">
        <v>46184</v>
      </c>
      <c r="E12" s="6" t="s">
        <v>176</v>
      </c>
      <c r="F12" s="30" t="n">
        <v>-250</v>
      </c>
      <c r="G12" s="31" t="s">
        <v>162</v>
      </c>
      <c r="H12" s="15" t="n">
        <f aca="false">IF(G12="Y",F12,0)</f>
        <v>0</v>
      </c>
    </row>
    <row r="13" customFormat="false" ht="15" hidden="false" customHeight="false" outlineLevel="0" collapsed="false">
      <c r="A13" s="6" t="s">
        <v>177</v>
      </c>
      <c r="B13" s="6" t="s">
        <v>132</v>
      </c>
      <c r="C13" s="28" t="n">
        <v>4185</v>
      </c>
      <c r="D13" s="29" t="n">
        <v>46202</v>
      </c>
      <c r="E13" s="6" t="s">
        <v>178</v>
      </c>
      <c r="F13" s="30" t="n">
        <v>-175</v>
      </c>
      <c r="G13" s="31" t="s">
        <v>162</v>
      </c>
      <c r="H13" s="15" t="n">
        <f aca="false">IF(G13="Y",F13,0)</f>
        <v>0</v>
      </c>
    </row>
    <row r="14" customFormat="false" ht="15" hidden="false" customHeight="false" outlineLevel="0" collapsed="false">
      <c r="A14" s="6" t="s">
        <v>179</v>
      </c>
      <c r="B14" s="6" t="s">
        <v>138</v>
      </c>
      <c r="C14" s="28" t="n">
        <v>3643</v>
      </c>
      <c r="D14" s="29" t="n">
        <v>45908</v>
      </c>
      <c r="E14" s="6" t="s">
        <v>180</v>
      </c>
      <c r="F14" s="30" t="n">
        <v>-250</v>
      </c>
      <c r="G14" s="31" t="s">
        <v>162</v>
      </c>
      <c r="H14" s="15" t="n">
        <f aca="false">IF(G14="Y",F14,0)</f>
        <v>0</v>
      </c>
    </row>
    <row r="16" customFormat="false" ht="15" hidden="false" customHeight="false" outlineLevel="0" collapsed="false">
      <c r="E16" s="4" t="s">
        <v>181</v>
      </c>
      <c r="H16" s="16" t="n">
        <f aca="false">SUM(H5:H14)</f>
        <v>0</v>
      </c>
    </row>
    <row r="18" customFormat="false" ht="15" hidden="false" customHeight="false" outlineLevel="0" collapsed="false">
      <c r="A18" s="7" t="s">
        <v>182</v>
      </c>
    </row>
  </sheetData>
  <dataValidations count="1">
    <dataValidation allowBlank="false" errorStyle="stop" operator="between" showDropDown="false" showErrorMessage="false" showInputMessage="false" sqref="G5:G1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12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32" t="s">
        <v>155</v>
      </c>
      <c r="B4" s="27" t="s">
        <v>185</v>
      </c>
      <c r="C4" s="27" t="s">
        <v>186</v>
      </c>
      <c r="D4" s="27" t="s">
        <v>187</v>
      </c>
      <c r="E4" s="27" t="s">
        <v>188</v>
      </c>
      <c r="F4" s="27" t="s">
        <v>189</v>
      </c>
      <c r="G4" s="27" t="s">
        <v>190</v>
      </c>
      <c r="H4" s="27" t="s">
        <v>191</v>
      </c>
      <c r="I4" s="27" t="s">
        <v>192</v>
      </c>
      <c r="J4" s="27" t="s">
        <v>193</v>
      </c>
      <c r="K4" s="27" t="s">
        <v>194</v>
      </c>
      <c r="L4" s="27" t="s">
        <v>195</v>
      </c>
      <c r="M4" s="27" t="s">
        <v>196</v>
      </c>
      <c r="N4" s="27" t="s">
        <v>197</v>
      </c>
      <c r="O4" s="27" t="s">
        <v>198</v>
      </c>
      <c r="P4" s="27" t="s">
        <v>199</v>
      </c>
      <c r="Q4" s="27" t="s">
        <v>200</v>
      </c>
      <c r="R4" s="27" t="s">
        <v>201</v>
      </c>
      <c r="S4" s="27" t="s">
        <v>202</v>
      </c>
      <c r="T4" s="27" t="s">
        <v>203</v>
      </c>
      <c r="U4" s="27" t="s">
        <v>204</v>
      </c>
      <c r="V4" s="27" t="s">
        <v>205</v>
      </c>
      <c r="W4" s="27" t="s">
        <v>206</v>
      </c>
      <c r="X4" s="27" t="s">
        <v>207</v>
      </c>
      <c r="Y4" s="27" t="s">
        <v>208</v>
      </c>
      <c r="Z4" s="27" t="s">
        <v>209</v>
      </c>
      <c r="AA4" s="27" t="s">
        <v>210</v>
      </c>
      <c r="AB4" s="27" t="s">
        <v>211</v>
      </c>
      <c r="AC4" s="32" t="s">
        <v>56</v>
      </c>
    </row>
    <row r="5" customFormat="false" ht="15" hidden="false" customHeight="false" outlineLevel="0" collapsed="false">
      <c r="A5" s="6" t="s">
        <v>45</v>
      </c>
      <c r="B5" s="33" t="n">
        <v>0</v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0</v>
      </c>
      <c r="I5" s="33" t="n">
        <v>0</v>
      </c>
      <c r="J5" s="33" t="n">
        <v>0</v>
      </c>
      <c r="K5" s="33" t="n">
        <v>0</v>
      </c>
      <c r="L5" s="33" t="n">
        <v>0</v>
      </c>
      <c r="M5" s="33" t="n">
        <v>0</v>
      </c>
      <c r="N5" s="33" t="n">
        <v>0</v>
      </c>
      <c r="O5" s="33" t="n">
        <v>0</v>
      </c>
      <c r="P5" s="33" t="n">
        <v>0</v>
      </c>
      <c r="Q5" s="33" t="n">
        <v>0</v>
      </c>
      <c r="R5" s="33" t="n">
        <v>0</v>
      </c>
      <c r="S5" s="33" t="n">
        <v>0</v>
      </c>
      <c r="T5" s="26" t="n">
        <f aca="false">'Mentee Blocks'!B13</f>
        <v>189.193548387097</v>
      </c>
      <c r="U5" s="26" t="n">
        <f aca="false">'Mentee Blocks'!C13</f>
        <v>255</v>
      </c>
      <c r="V5" s="26" t="n">
        <f aca="false">'Mentee Blocks'!D13</f>
        <v>247.94930875576</v>
      </c>
      <c r="W5" s="26" t="n">
        <f aca="false">'Mentee Blocks'!E13</f>
        <v>262.05069124424</v>
      </c>
      <c r="X5" s="26" t="n">
        <f aca="false">'Mentee Blocks'!F13</f>
        <v>252.806451612903</v>
      </c>
      <c r="Y5" s="26" t="n">
        <f aca="false">'Mentee Blocks'!G13</f>
        <v>257.193548387097</v>
      </c>
      <c r="Z5" s="26" t="n">
        <f aca="false">'Mentee Blocks'!H13</f>
        <v>113.506451612903</v>
      </c>
      <c r="AA5" s="26" t="n">
        <f aca="false">'Mentee Blocks'!I13</f>
        <v>111.3</v>
      </c>
      <c r="AB5" s="33" t="n">
        <v>0</v>
      </c>
      <c r="AC5" s="16" t="n">
        <f aca="false">SUM(B5:AB5)</f>
        <v>1689</v>
      </c>
    </row>
    <row r="6" customFormat="false" ht="15" hidden="false" customHeight="false" outlineLevel="0" collapsed="false">
      <c r="A6" s="6" t="s">
        <v>69</v>
      </c>
      <c r="B6" s="26" t="n">
        <f aca="false">'Mentee Blocks'!B26</f>
        <v>70.8333333333333</v>
      </c>
      <c r="C6" s="26" t="n">
        <f aca="false">'Mentee Blocks'!C26</f>
        <v>141.666666666667</v>
      </c>
      <c r="D6" s="26" t="n">
        <f aca="false">'Mentee Blocks'!D26</f>
        <v>255</v>
      </c>
      <c r="E6" s="26" t="n">
        <f aca="false">'Mentee Blocks'!E26+'Mentee Blocks'!F26</f>
        <v>306</v>
      </c>
      <c r="F6" s="26" t="n">
        <f aca="false">'Mentee Blocks'!G26</f>
        <v>253.354838709677</v>
      </c>
      <c r="G6" s="26" t="n">
        <f aca="false">'Mentee Blocks'!H26</f>
        <v>248.145161290323</v>
      </c>
      <c r="H6" s="26" t="n">
        <f aca="false">'Mentee Blocks'!I26</f>
        <v>212.5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  <c r="N6" s="33" t="n">
        <v>0</v>
      </c>
      <c r="O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V6" s="33" t="n">
        <v>0</v>
      </c>
      <c r="W6" s="33" t="n">
        <v>0</v>
      </c>
      <c r="X6" s="33" t="n">
        <v>0</v>
      </c>
      <c r="Y6" s="33" t="n">
        <v>0</v>
      </c>
      <c r="Z6" s="33" t="n">
        <v>0</v>
      </c>
      <c r="AA6" s="33" t="n">
        <v>0</v>
      </c>
      <c r="AB6" s="33" t="n">
        <v>0</v>
      </c>
      <c r="AC6" s="16" t="n">
        <f aca="false">SUM(B6:AB6)</f>
        <v>1487.5</v>
      </c>
    </row>
    <row r="7" customFormat="false" ht="15" hidden="false" customHeight="false" outlineLevel="0" collapsed="false">
      <c r="A7" s="6" t="s">
        <v>78</v>
      </c>
      <c r="B7" s="33" t="n">
        <v>0</v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0</v>
      </c>
      <c r="N7" s="33" t="n">
        <v>0</v>
      </c>
      <c r="O7" s="33" t="n">
        <v>0</v>
      </c>
      <c r="P7" s="33" t="n">
        <v>0</v>
      </c>
      <c r="Q7" s="33" t="n">
        <v>0</v>
      </c>
      <c r="R7" s="26" t="n">
        <f aca="false">'Mentee Blocks'!B39</f>
        <v>41.1290322580645</v>
      </c>
      <c r="S7" s="26" t="n">
        <f aca="false">'Mentee Blocks'!C39</f>
        <v>247.870967741935</v>
      </c>
      <c r="T7" s="26" t="n">
        <f aca="false">'Mentee Blocks'!D39</f>
        <v>262.129032258065</v>
      </c>
      <c r="U7" s="26" t="n">
        <f aca="false">'Mentee Blocks'!E39</f>
        <v>213.870967741935</v>
      </c>
      <c r="V7" s="26" t="n">
        <f aca="false">'Mentee Blocks'!F39</f>
        <v>236.785714285714</v>
      </c>
      <c r="W7" s="26" t="n">
        <f aca="false">'Mentee Blocks'!G39</f>
        <v>18.2142857142857</v>
      </c>
      <c r="X7" s="26" t="n">
        <f aca="false">'Mentee Blocks'!H39</f>
        <v>0</v>
      </c>
      <c r="Y7" s="26" t="n">
        <f aca="false">'Mentee Blocks'!I39</f>
        <v>98.7096774193548</v>
      </c>
      <c r="Z7" s="26" t="n">
        <f aca="false">'Mentee Blocks'!J39</f>
        <v>249.790322580645</v>
      </c>
      <c r="AA7" s="26" t="n">
        <f aca="false">'Mentee Blocks'!K39</f>
        <v>260.209677419355</v>
      </c>
      <c r="AB7" s="26" t="n">
        <f aca="false">'Mentee Blocks'!L39</f>
        <v>156.290322580645</v>
      </c>
      <c r="AC7" s="16" t="n">
        <f aca="false">SUM(B7:AB7)</f>
        <v>1785</v>
      </c>
    </row>
    <row r="8" customFormat="false" ht="15" hidden="false" customHeight="false" outlineLevel="0" collapsed="false">
      <c r="A8" s="6" t="s">
        <v>83</v>
      </c>
      <c r="B8" s="33" t="n">
        <v>0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0</v>
      </c>
      <c r="P8" s="33" t="n">
        <v>0</v>
      </c>
      <c r="Q8" s="33" t="n">
        <v>0</v>
      </c>
      <c r="R8" s="33" t="n">
        <v>0</v>
      </c>
      <c r="S8" s="33" t="n">
        <v>0</v>
      </c>
      <c r="T8" s="33" t="n">
        <v>0</v>
      </c>
      <c r="U8" s="33" t="n">
        <v>0</v>
      </c>
      <c r="V8" s="33" t="n">
        <v>0</v>
      </c>
      <c r="W8" s="33" t="n">
        <v>0</v>
      </c>
      <c r="X8" s="33" t="n">
        <v>0</v>
      </c>
      <c r="Y8" s="33" t="n">
        <v>0</v>
      </c>
      <c r="Z8" s="33" t="n">
        <v>0</v>
      </c>
      <c r="AA8" s="26" t="n">
        <f aca="false">'Mentee Blocks'!B52</f>
        <v>238.548387096774</v>
      </c>
      <c r="AB8" s="26" t="n">
        <f aca="false">'Mentee Blocks'!C52</f>
        <v>16.4516129032258</v>
      </c>
      <c r="AC8" s="16" t="n">
        <f aca="false">SUM(B8:AB8)</f>
        <v>255</v>
      </c>
    </row>
    <row r="9" customFormat="false" ht="15" hidden="false" customHeight="false" outlineLevel="0" collapsed="false">
      <c r="A9" s="6" t="s">
        <v>85</v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  <c r="P9" s="33" t="n">
        <v>0</v>
      </c>
      <c r="Q9" s="26" t="n">
        <f aca="false">'Mentee Blocks'!B65</f>
        <v>93.5</v>
      </c>
      <c r="R9" s="26" t="n">
        <f aca="false">'Mentee Blocks'!C65</f>
        <v>260.209677419355</v>
      </c>
      <c r="S9" s="26" t="n">
        <f aca="false">'Mentee Blocks'!D65</f>
        <v>249.790322580645</v>
      </c>
      <c r="T9" s="26" t="n">
        <f aca="false">'Mentee Blocks'!E65</f>
        <v>260.209677419355</v>
      </c>
      <c r="U9" s="26" t="n">
        <f aca="false">'Mentee Blocks'!F65</f>
        <v>255</v>
      </c>
      <c r="V9" s="26" t="n">
        <f aca="false">'Mentee Blocks'!G65</f>
        <v>238.254608294931</v>
      </c>
      <c r="W9" s="26" t="n">
        <f aca="false">'Mentee Blocks'!H65</f>
        <v>271.745391705069</v>
      </c>
      <c r="X9" s="26" t="n">
        <f aca="false">'Mentee Blocks'!I65</f>
        <v>249.790322580645</v>
      </c>
      <c r="Y9" s="26" t="n">
        <f aca="false">'Mentee Blocks'!J65</f>
        <v>260.209677419355</v>
      </c>
      <c r="Z9" s="26" t="n">
        <f aca="false">'Mentee Blocks'!K65</f>
        <v>249.790322580645</v>
      </c>
      <c r="AA9" s="26" t="n">
        <f aca="false">'Mentee Blocks'!L65</f>
        <v>161.5</v>
      </c>
      <c r="AB9" s="33" t="n">
        <v>0</v>
      </c>
      <c r="AC9" s="16" t="n">
        <f aca="false">SUM(B9:AB9)</f>
        <v>2550</v>
      </c>
    </row>
    <row r="10" customFormat="false" ht="15" hidden="false" customHeight="false" outlineLevel="0" collapsed="false">
      <c r="A10" s="6" t="s">
        <v>88</v>
      </c>
      <c r="B10" s="33" t="n">
        <v>0</v>
      </c>
      <c r="C10" s="33" t="n">
        <v>0</v>
      </c>
      <c r="D10" s="33" t="n">
        <v>0</v>
      </c>
      <c r="E10" s="33" t="n">
        <v>0</v>
      </c>
      <c r="F10" s="33" t="n">
        <v>0</v>
      </c>
      <c r="G10" s="33" t="n">
        <v>0</v>
      </c>
      <c r="H10" s="33" t="n">
        <v>0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3" t="n">
        <v>0</v>
      </c>
      <c r="P10" s="33" t="n">
        <v>0</v>
      </c>
      <c r="Q10" s="33" t="n">
        <v>0</v>
      </c>
      <c r="R10" s="33" t="n">
        <v>0</v>
      </c>
      <c r="S10" s="33" t="n">
        <v>0</v>
      </c>
      <c r="T10" s="33" t="n">
        <v>0</v>
      </c>
      <c r="U10" s="33" t="n">
        <v>0</v>
      </c>
      <c r="V10" s="33" t="n">
        <v>0</v>
      </c>
      <c r="W10" s="33" t="n">
        <v>0</v>
      </c>
      <c r="X10" s="33" t="n">
        <v>0</v>
      </c>
      <c r="Y10" s="26" t="n">
        <f aca="false">'Mentee Blocks'!B78</f>
        <v>148.064516129032</v>
      </c>
      <c r="Z10" s="26" t="n">
        <f aca="false">'Mentee Blocks'!C78</f>
        <v>251.435483870968</v>
      </c>
      <c r="AA10" s="26" t="n">
        <f aca="false">'Mentee Blocks'!D78</f>
        <v>258.564516129032</v>
      </c>
      <c r="AB10" s="26" t="n">
        <f aca="false">'Mentee Blocks'!E78</f>
        <v>106.935483870968</v>
      </c>
      <c r="AC10" s="16" t="n">
        <f aca="false">SUM(B10:AB10)</f>
        <v>765</v>
      </c>
    </row>
    <row r="11" customFormat="false" ht="15" hidden="false" customHeight="false" outlineLevel="0" collapsed="false">
      <c r="A11" s="6" t="s">
        <v>90</v>
      </c>
      <c r="B11" s="33" t="n">
        <v>0</v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33" t="n">
        <v>0</v>
      </c>
      <c r="P11" s="33" t="n">
        <v>0</v>
      </c>
      <c r="Q11" s="33" t="n">
        <v>0</v>
      </c>
      <c r="R11" s="26" t="n">
        <f aca="false">'Mentee Blocks'!B91</f>
        <v>106.935483870968</v>
      </c>
      <c r="S11" s="26" t="n">
        <f aca="false">'Mentee Blocks'!C91</f>
        <v>250.064516129032</v>
      </c>
      <c r="T11" s="26" t="n">
        <f aca="false">'Mentee Blocks'!D91</f>
        <v>259.935483870968</v>
      </c>
      <c r="U11" s="26" t="n">
        <f aca="false">'Mentee Blocks'!E91</f>
        <v>255</v>
      </c>
      <c r="V11" s="26" t="n">
        <f aca="false">'Mentee Blocks'!F91</f>
        <v>148.064516129032</v>
      </c>
      <c r="W11" s="33" t="n">
        <v>0</v>
      </c>
      <c r="X11" s="33" t="n">
        <v>0</v>
      </c>
      <c r="Y11" s="33" t="n">
        <v>0</v>
      </c>
      <c r="Z11" s="33" t="n">
        <v>0</v>
      </c>
      <c r="AA11" s="33" t="n">
        <v>0</v>
      </c>
      <c r="AB11" s="33" t="n">
        <v>0</v>
      </c>
      <c r="AC11" s="16" t="n">
        <f aca="false">SUM(B11:AB11)</f>
        <v>1020</v>
      </c>
    </row>
    <row r="12" customFormat="false" ht="15" hidden="false" customHeight="false" outlineLevel="0" collapsed="false">
      <c r="A12" s="6" t="s">
        <v>92</v>
      </c>
      <c r="B12" s="33" t="n">
        <v>0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0</v>
      </c>
      <c r="K12" s="33" t="n">
        <v>0</v>
      </c>
      <c r="L12" s="33" t="n">
        <v>0</v>
      </c>
      <c r="M12" s="33" t="n">
        <v>0</v>
      </c>
      <c r="N12" s="33" t="n">
        <v>0</v>
      </c>
      <c r="O12" s="33" t="n">
        <v>0</v>
      </c>
      <c r="P12" s="33" t="n">
        <v>0</v>
      </c>
      <c r="Q12" s="33" t="n">
        <v>0</v>
      </c>
      <c r="R12" s="26" t="n">
        <f aca="false">'Mentee Blocks'!B104</f>
        <v>139.838709677419</v>
      </c>
      <c r="S12" s="26" t="n">
        <f aca="false">'Mentee Blocks'!C104</f>
        <v>251.161290322581</v>
      </c>
      <c r="T12" s="26" t="n">
        <f aca="false">'Mentee Blocks'!D104</f>
        <v>258.838709677419</v>
      </c>
      <c r="U12" s="26" t="n">
        <f aca="false">'Mentee Blocks'!E104</f>
        <v>255</v>
      </c>
      <c r="V12" s="26" t="n">
        <f aca="false">'Mentee Blocks'!F104</f>
        <v>242.661290322581</v>
      </c>
      <c r="W12" s="26" t="n">
        <f aca="false">'Mentee Blocks'!G104</f>
        <v>267.338709677419</v>
      </c>
      <c r="X12" s="26" t="n">
        <f aca="false">'Mentee Blocks'!H104</f>
        <v>251.161290322581</v>
      </c>
      <c r="Y12" s="26" t="n">
        <f aca="false">'Mentee Blocks'!I104</f>
        <v>211.322580645161</v>
      </c>
      <c r="Z12" s="26" t="n">
        <f aca="false">'Mentee Blocks'!J104</f>
        <v>66.6774193548387</v>
      </c>
      <c r="AA12" s="33" t="n">
        <v>0</v>
      </c>
      <c r="AB12" s="33" t="n">
        <v>0</v>
      </c>
      <c r="AC12" s="16" t="n">
        <f aca="false">SUM(B12:AB12)</f>
        <v>1944</v>
      </c>
    </row>
    <row r="13" customFormat="false" ht="15" hidden="false" customHeight="false" outlineLevel="0" collapsed="false">
      <c r="A13" s="6" t="s">
        <v>94</v>
      </c>
      <c r="B13" s="33" t="n">
        <v>0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0</v>
      </c>
      <c r="O13" s="33" t="n">
        <v>0</v>
      </c>
      <c r="P13" s="33" t="n">
        <v>0</v>
      </c>
      <c r="Q13" s="33" t="n">
        <v>0</v>
      </c>
      <c r="R13" s="33" t="n">
        <v>0</v>
      </c>
      <c r="S13" s="33" t="n">
        <v>0</v>
      </c>
      <c r="T13" s="33" t="n">
        <v>0</v>
      </c>
      <c r="U13" s="33" t="n">
        <v>0</v>
      </c>
      <c r="V13" s="33" t="n">
        <v>0</v>
      </c>
      <c r="W13" s="33" t="n">
        <v>0</v>
      </c>
      <c r="X13" s="33" t="n">
        <v>0</v>
      </c>
      <c r="Y13" s="26" t="n">
        <f aca="false">'Mentee Blocks'!B117+'Mentee Blocks'!C117</f>
        <v>337.258064516129</v>
      </c>
      <c r="Z13" s="26" t="n">
        <f aca="false">'Mentee Blocks'!D117</f>
        <v>249.241935483871</v>
      </c>
      <c r="AA13" s="26" t="n">
        <f aca="false">'Mentee Blocks'!E117</f>
        <v>260.758064516129</v>
      </c>
      <c r="AB13" s="26" t="n">
        <f aca="false">'Mentee Blocks'!F117</f>
        <v>172.741935483871</v>
      </c>
      <c r="AC13" s="16" t="n">
        <f aca="false">SUM(B13:AB13)</f>
        <v>1020</v>
      </c>
    </row>
    <row r="14" customFormat="false" ht="15" hidden="false" customHeight="false" outlineLevel="0" collapsed="false">
      <c r="A14" s="6" t="s">
        <v>96</v>
      </c>
      <c r="B14" s="33" t="n">
        <v>0</v>
      </c>
      <c r="C14" s="33" t="n">
        <v>0</v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</v>
      </c>
      <c r="O14" s="33" t="n">
        <v>0</v>
      </c>
      <c r="P14" s="33" t="n">
        <v>0</v>
      </c>
      <c r="Q14" s="33" t="n">
        <v>0</v>
      </c>
      <c r="R14" s="33" t="n">
        <v>0</v>
      </c>
      <c r="S14" s="33" t="n">
        <v>0</v>
      </c>
      <c r="T14" s="33" t="n">
        <v>0</v>
      </c>
      <c r="U14" s="33" t="n">
        <v>0</v>
      </c>
      <c r="V14" s="33" t="n">
        <v>0</v>
      </c>
      <c r="W14" s="33" t="n">
        <v>0</v>
      </c>
      <c r="X14" s="33" t="n">
        <v>0</v>
      </c>
      <c r="Y14" s="33" t="n">
        <v>0</v>
      </c>
      <c r="Z14" s="26" t="n">
        <f aca="false">'Mentee Blocks'!B130</f>
        <v>110.5</v>
      </c>
      <c r="AA14" s="26" t="n">
        <f aca="false">'Mentee Blocks'!C130</f>
        <v>259.661290322581</v>
      </c>
      <c r="AB14" s="26" t="n">
        <f aca="false">'Mentee Blocks'!D130</f>
        <v>139.838709677419</v>
      </c>
      <c r="AC14" s="16" t="n">
        <f aca="false">SUM(B14:AB14)</f>
        <v>510</v>
      </c>
    </row>
    <row r="15" customFormat="false" ht="15" hidden="false" customHeight="false" outlineLevel="0" collapsed="false">
      <c r="A15" s="6" t="s">
        <v>98</v>
      </c>
      <c r="B15" s="33" t="n">
        <v>0</v>
      </c>
      <c r="C15" s="33" t="n">
        <v>0</v>
      </c>
      <c r="D15" s="33" t="n">
        <v>0</v>
      </c>
      <c r="E15" s="33" t="n">
        <v>0</v>
      </c>
      <c r="F15" s="33" t="n">
        <v>0</v>
      </c>
      <c r="G15" s="33" t="n">
        <v>0</v>
      </c>
      <c r="H15" s="33" t="n">
        <v>0</v>
      </c>
      <c r="I15" s="26" t="n">
        <f aca="false">'Mentee Blocks'!B143</f>
        <v>230.322580645161</v>
      </c>
      <c r="J15" s="26" t="n">
        <f aca="false">'Mentee Blocks'!C143</f>
        <v>252.35599078341</v>
      </c>
      <c r="K15" s="26" t="n">
        <f aca="false">'Mentee Blocks'!D143</f>
        <v>257.64400921659</v>
      </c>
      <c r="L15" s="26" t="n">
        <f aca="false">'Mentee Blocks'!E143</f>
        <v>254.177419354839</v>
      </c>
      <c r="M15" s="26" t="n">
        <f aca="false">'Mentee Blocks'!F143</f>
        <v>255.822580645161</v>
      </c>
      <c r="N15" s="26" t="n">
        <f aca="false">'Mentee Blocks'!G143</f>
        <v>254.177419354839</v>
      </c>
      <c r="O15" s="26" t="n">
        <f aca="false">'Mentee Blocks'!H143</f>
        <v>255.822580645161</v>
      </c>
      <c r="P15" s="26" t="n">
        <f aca="false">'Mentee Blocks'!I143</f>
        <v>255</v>
      </c>
      <c r="Q15" s="26" t="n">
        <f aca="false">'Mentee Blocks'!J143</f>
        <v>254.177419354839</v>
      </c>
      <c r="R15" s="26" t="n">
        <f aca="false">'Mentee Blocks'!K143</f>
        <v>25.5</v>
      </c>
      <c r="S15" s="33" t="n">
        <v>0</v>
      </c>
      <c r="T15" s="33" t="n">
        <v>0</v>
      </c>
      <c r="U15" s="33" t="n">
        <v>0</v>
      </c>
      <c r="V15" s="33" t="n">
        <v>0</v>
      </c>
      <c r="W15" s="33" t="n">
        <v>0</v>
      </c>
      <c r="X15" s="33" t="n">
        <v>0</v>
      </c>
      <c r="Y15" s="33" t="n">
        <v>0</v>
      </c>
      <c r="Z15" s="33" t="n">
        <v>0</v>
      </c>
      <c r="AA15" s="33" t="n">
        <v>0</v>
      </c>
      <c r="AB15" s="33" t="n">
        <v>0</v>
      </c>
      <c r="AC15" s="16" t="n">
        <f aca="false">SUM(B15:AB15)</f>
        <v>2295</v>
      </c>
    </row>
    <row r="16" customFormat="false" ht="15" hidden="false" customHeight="false" outlineLevel="0" collapsed="false">
      <c r="A16" s="6" t="s">
        <v>108</v>
      </c>
      <c r="B16" s="33" t="n">
        <v>0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33" t="n">
        <v>0</v>
      </c>
      <c r="P16" s="33" t="n">
        <v>0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  <c r="V16" s="33" t="n">
        <v>0</v>
      </c>
      <c r="W16" s="33" t="n">
        <v>0</v>
      </c>
      <c r="X16" s="33" t="n">
        <v>0</v>
      </c>
      <c r="Y16" s="26" t="n">
        <f aca="false">'Mentee Blocks'!B156</f>
        <v>139.838709677419</v>
      </c>
      <c r="Z16" s="26" t="n">
        <f aca="false">'Mentee Blocks'!C156</f>
        <v>251.161290322581</v>
      </c>
      <c r="AA16" s="26" t="n">
        <f aca="false">'Mentee Blocks'!D156</f>
        <v>258.838709677419</v>
      </c>
      <c r="AB16" s="26" t="n">
        <f aca="false">'Mentee Blocks'!E156</f>
        <v>115.161290322581</v>
      </c>
      <c r="AC16" s="16" t="n">
        <f aca="false">SUM(B16:AB16)</f>
        <v>765</v>
      </c>
    </row>
    <row r="17" customFormat="false" ht="15" hidden="false" customHeight="false" outlineLevel="0" collapsed="false">
      <c r="A17" s="6" t="s">
        <v>110</v>
      </c>
      <c r="B17" s="33" t="n">
        <v>0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  <c r="V17" s="33" t="n">
        <v>0</v>
      </c>
      <c r="W17" s="33" t="n">
        <v>0</v>
      </c>
      <c r="X17" s="33" t="n">
        <v>0</v>
      </c>
      <c r="Y17" s="33" t="n">
        <v>0</v>
      </c>
      <c r="Z17" s="33" t="n">
        <v>0</v>
      </c>
      <c r="AA17" s="26" t="n">
        <f aca="false">'Mentee Blocks'!B169</f>
        <v>90.4838709677419</v>
      </c>
      <c r="AB17" s="26" t="n">
        <f aca="false">'Mentee Blocks'!C169</f>
        <v>164.516129032258</v>
      </c>
      <c r="AC17" s="16" t="n">
        <f aca="false">SUM(B17:AB17)</f>
        <v>255</v>
      </c>
    </row>
    <row r="18" customFormat="false" ht="15" hidden="false" customHeight="false" outlineLevel="0" collapsed="false">
      <c r="A18" s="6" t="s">
        <v>112</v>
      </c>
      <c r="B18" s="33" t="n">
        <v>0</v>
      </c>
      <c r="C18" s="33" t="n">
        <v>0</v>
      </c>
      <c r="D18" s="33" t="n">
        <v>0</v>
      </c>
      <c r="E18" s="33" t="n">
        <v>0</v>
      </c>
      <c r="F18" s="33" t="n">
        <v>0</v>
      </c>
      <c r="G18" s="33" t="n">
        <v>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0</v>
      </c>
      <c r="M18" s="33" t="n">
        <v>0</v>
      </c>
      <c r="N18" s="33" t="n">
        <v>0</v>
      </c>
      <c r="O18" s="33" t="n">
        <v>0</v>
      </c>
      <c r="P18" s="33" t="n">
        <v>0</v>
      </c>
      <c r="Q18" s="33" t="n">
        <v>0</v>
      </c>
      <c r="R18" s="33" t="n">
        <v>0</v>
      </c>
      <c r="S18" s="33" t="n">
        <v>0</v>
      </c>
      <c r="T18" s="33" t="n">
        <v>0</v>
      </c>
      <c r="U18" s="33" t="n">
        <v>0</v>
      </c>
      <c r="V18" s="33" t="n">
        <v>0</v>
      </c>
      <c r="W18" s="33" t="n">
        <v>0</v>
      </c>
      <c r="X18" s="33" t="n">
        <v>0</v>
      </c>
      <c r="Y18" s="26" t="n">
        <f aca="false">'Mentee Blocks'!B182</f>
        <v>154.838709677419</v>
      </c>
      <c r="Z18" s="26" t="n">
        <f aca="false">'Mentee Blocks'!C182</f>
        <v>85.1612903225806</v>
      </c>
      <c r="AA18" s="33" t="n">
        <v>0</v>
      </c>
      <c r="AB18" s="33" t="n">
        <v>0</v>
      </c>
      <c r="AC18" s="16" t="n">
        <f aca="false">SUM(B18:AB18)</f>
        <v>240</v>
      </c>
    </row>
    <row r="19" customFormat="false" ht="15" hidden="false" customHeight="false" outlineLevel="0" collapsed="false">
      <c r="A19" s="6" t="s">
        <v>114</v>
      </c>
      <c r="B19" s="33" t="n">
        <v>0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n">
        <v>0</v>
      </c>
      <c r="I19" s="33" t="n">
        <v>0</v>
      </c>
      <c r="J19" s="33" t="n">
        <v>0</v>
      </c>
      <c r="K19" s="33" t="n">
        <v>0</v>
      </c>
      <c r="L19" s="33" t="n">
        <v>0</v>
      </c>
      <c r="M19" s="33" t="n">
        <v>0</v>
      </c>
      <c r="N19" s="33" t="n">
        <v>0</v>
      </c>
      <c r="O19" s="33" t="n">
        <v>0</v>
      </c>
      <c r="P19" s="33" t="n">
        <v>0</v>
      </c>
      <c r="Q19" s="26" t="n">
        <f aca="false">'Mentee Blocks'!B195</f>
        <v>8.5</v>
      </c>
      <c r="R19" s="26" t="n">
        <f aca="false">'Mentee Blocks'!C195</f>
        <v>262.951612903226</v>
      </c>
      <c r="S19" s="26" t="n">
        <f aca="false">'Mentee Blocks'!D195</f>
        <v>247.048387096774</v>
      </c>
      <c r="T19" s="26" t="n">
        <f aca="false">'Mentee Blocks'!E195</f>
        <v>262.951612903226</v>
      </c>
      <c r="U19" s="26" t="n">
        <f aca="false">'Mentee Blocks'!F195</f>
        <v>255</v>
      </c>
      <c r="V19" s="26" t="n">
        <f aca="false">'Mentee Blocks'!G195</f>
        <v>238.548387096774</v>
      </c>
      <c r="W19" s="26" t="n">
        <f aca="false">'Mentee Blocks'!H195+'Mentee Blocks'!I195</f>
        <v>287.903225806452</v>
      </c>
      <c r="X19" s="26" t="n">
        <f aca="false">'Mentee Blocks'!J195</f>
        <v>247.596774193548</v>
      </c>
      <c r="Y19" s="26" t="n">
        <f aca="false">'Mentee Blocks'!K195</f>
        <v>262.403225806452</v>
      </c>
      <c r="Z19" s="26" t="n">
        <f aca="false">'Mentee Blocks'!L195</f>
        <v>222.096774193548</v>
      </c>
      <c r="AA19" s="26" t="n">
        <f aca="false">'Mentee Blocks'!M195</f>
        <v>92.3225806451613</v>
      </c>
      <c r="AB19" s="26" t="n">
        <f aca="false">'Mentee Blocks'!N195</f>
        <v>66.6774193548387</v>
      </c>
      <c r="AC19" s="16" t="n">
        <f aca="false">SUM(B19:AB19)</f>
        <v>2454</v>
      </c>
    </row>
    <row r="20" customFormat="false" ht="15" hidden="false" customHeight="false" outlineLevel="0" collapsed="false">
      <c r="A20" s="6" t="s">
        <v>116</v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33" t="n">
        <v>0</v>
      </c>
      <c r="I20" s="33" t="n">
        <v>0</v>
      </c>
      <c r="J20" s="33" t="n">
        <v>0</v>
      </c>
      <c r="K20" s="33" t="n">
        <v>0</v>
      </c>
      <c r="L20" s="26" t="n">
        <f aca="false">'Mentee Blocks'!B208</f>
        <v>204</v>
      </c>
      <c r="M20" s="26" t="n">
        <f aca="false">'Mentee Blocks'!C208</f>
        <v>256.645161290323</v>
      </c>
      <c r="N20" s="26" t="n">
        <f aca="false">'Mentee Blocks'!D208</f>
        <v>253.354838709677</v>
      </c>
      <c r="O20" s="26" t="n">
        <f aca="false">'Mentee Blocks'!E208</f>
        <v>256.645161290323</v>
      </c>
      <c r="P20" s="26" t="n">
        <f aca="false">'Mentee Blocks'!F208</f>
        <v>49.3548387096774</v>
      </c>
      <c r="Q20" s="33" t="n">
        <v>0</v>
      </c>
      <c r="R20" s="33" t="n">
        <v>0</v>
      </c>
      <c r="S20" s="33" t="n">
        <v>0</v>
      </c>
      <c r="T20" s="33" t="n">
        <v>0</v>
      </c>
      <c r="U20" s="33" t="n">
        <v>0</v>
      </c>
      <c r="V20" s="33" t="n">
        <v>0</v>
      </c>
      <c r="W20" s="33" t="n">
        <v>0</v>
      </c>
      <c r="X20" s="33" t="n">
        <v>0</v>
      </c>
      <c r="Y20" s="33" t="n">
        <v>0</v>
      </c>
      <c r="Z20" s="33" t="n">
        <v>0</v>
      </c>
      <c r="AA20" s="33" t="n">
        <v>0</v>
      </c>
      <c r="AB20" s="33" t="n">
        <v>0</v>
      </c>
      <c r="AC20" s="16" t="n">
        <f aca="false">SUM(B20:AB20)</f>
        <v>1020</v>
      </c>
    </row>
    <row r="21" customFormat="false" ht="15" hidden="false" customHeight="false" outlineLevel="0" collapsed="false">
      <c r="A21" s="6" t="s">
        <v>118</v>
      </c>
      <c r="B21" s="33" t="n">
        <v>0</v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33" t="n">
        <v>0</v>
      </c>
      <c r="K21" s="33" t="n">
        <v>0</v>
      </c>
      <c r="L21" s="33" t="n">
        <v>0</v>
      </c>
      <c r="M21" s="33" t="n">
        <v>0</v>
      </c>
      <c r="N21" s="33" t="n">
        <v>0</v>
      </c>
      <c r="O21" s="33" t="n">
        <v>0</v>
      </c>
      <c r="P21" s="33" t="n">
        <v>0</v>
      </c>
      <c r="Q21" s="33" t="n">
        <v>0</v>
      </c>
      <c r="R21" s="33" t="n">
        <v>0</v>
      </c>
      <c r="S21" s="33" t="n">
        <v>0</v>
      </c>
      <c r="T21" s="33" t="n">
        <v>0</v>
      </c>
      <c r="U21" s="33" t="n">
        <v>0</v>
      </c>
      <c r="V21" s="33" t="n">
        <v>0</v>
      </c>
      <c r="W21" s="33" t="n">
        <v>0</v>
      </c>
      <c r="X21" s="33" t="n">
        <v>0</v>
      </c>
      <c r="Y21" s="26" t="n">
        <f aca="false">'Mentee Blocks'!B221</f>
        <v>164.516129032258</v>
      </c>
      <c r="Z21" s="26" t="n">
        <f aca="false">'Mentee Blocks'!C221</f>
        <v>260.483870967742</v>
      </c>
      <c r="AA21" s="26" t="n">
        <f aca="false">'Mentee Blocks'!D221</f>
        <v>257.741935483871</v>
      </c>
      <c r="AB21" s="26" t="n">
        <f aca="false">'Mentee Blocks'!E221</f>
        <v>82.258064516129</v>
      </c>
      <c r="AC21" s="16" t="n">
        <f aca="false">SUM(B21:AB21)</f>
        <v>765</v>
      </c>
    </row>
    <row r="22" customFormat="false" ht="15" hidden="false" customHeight="false" outlineLevel="0" collapsed="false">
      <c r="A22" s="6" t="s">
        <v>120</v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3" t="n">
        <v>0</v>
      </c>
      <c r="P22" s="33" t="n">
        <v>0</v>
      </c>
      <c r="Q22" s="33" t="n">
        <v>0</v>
      </c>
      <c r="R22" s="33" t="n">
        <v>0</v>
      </c>
      <c r="S22" s="33" t="n">
        <v>0</v>
      </c>
      <c r="T22" s="33" t="n">
        <v>0</v>
      </c>
      <c r="U22" s="33" t="n">
        <v>0</v>
      </c>
      <c r="V22" s="33" t="n">
        <v>0</v>
      </c>
      <c r="W22" s="33" t="n">
        <v>0</v>
      </c>
      <c r="X22" s="33" t="n">
        <v>0</v>
      </c>
      <c r="Y22" s="26" t="n">
        <f aca="false">'Mentee Blocks'!B234</f>
        <v>148.064516129032</v>
      </c>
      <c r="Z22" s="26" t="n">
        <f aca="false">'Mentee Blocks'!C234</f>
        <v>259.935483870968</v>
      </c>
      <c r="AA22" s="26" t="n">
        <f aca="false">'Mentee Blocks'!D234</f>
        <v>258.290322580645</v>
      </c>
      <c r="AB22" s="26" t="n">
        <f aca="false">'Mentee Blocks'!E234</f>
        <v>98.7096774193548</v>
      </c>
      <c r="AC22" s="16" t="n">
        <f aca="false">SUM(B22:AB22)</f>
        <v>765</v>
      </c>
    </row>
    <row r="23" customFormat="false" ht="15" hidden="false" customHeight="false" outlineLevel="0" collapsed="false">
      <c r="A23" s="6" t="s">
        <v>122</v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26" t="n">
        <f aca="false">'Mentee Blocks'!B247+'Mentee Blocks'!C247</f>
        <v>255</v>
      </c>
      <c r="N23" s="26" t="n">
        <f aca="false">'Mentee Blocks'!D247</f>
        <v>260.3</v>
      </c>
      <c r="O23" s="26" t="n">
        <f aca="false">'Mentee Blocks'!E247</f>
        <v>163.958064516129</v>
      </c>
      <c r="P23" s="26" t="n">
        <f aca="false">'Mentee Blocks'!F247</f>
        <v>159</v>
      </c>
      <c r="Q23" s="26" t="n">
        <f aca="false">'Mentee Blocks'!G247</f>
        <v>151.641935483871</v>
      </c>
      <c r="R23" s="26" t="n">
        <f aca="false">'Mentee Blocks'!H247</f>
        <v>89.7129032258065</v>
      </c>
      <c r="S23" s="26" t="n">
        <f aca="false">'Mentee Blocks'!I247</f>
        <v>84.2870967741935</v>
      </c>
      <c r="T23" s="26" t="n">
        <f aca="false">'Mentee Blocks'!J247</f>
        <v>84.1</v>
      </c>
      <c r="U23" s="33" t="n">
        <v>0</v>
      </c>
      <c r="V23" s="33" t="n">
        <v>0</v>
      </c>
      <c r="W23" s="33" t="n">
        <v>0</v>
      </c>
      <c r="X23" s="33" t="n">
        <v>0</v>
      </c>
      <c r="Y23" s="33" t="n">
        <v>0</v>
      </c>
      <c r="Z23" s="33" t="n">
        <v>0</v>
      </c>
      <c r="AA23" s="33" t="n">
        <v>0</v>
      </c>
      <c r="AB23" s="33" t="n">
        <v>0</v>
      </c>
      <c r="AC23" s="16" t="n">
        <f aca="false">SUM(B23:AB23)</f>
        <v>1248</v>
      </c>
    </row>
    <row r="24" customFormat="false" ht="15" hidden="false" customHeight="false" outlineLevel="0" collapsed="false">
      <c r="A24" s="6" t="s">
        <v>124</v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26" t="n">
        <f aca="false">'Mentee Blocks'!B260</f>
        <v>222.096774193548</v>
      </c>
      <c r="Q24" s="26" t="n">
        <f aca="false">'Mentee Blocks'!C260</f>
        <v>253.903225806452</v>
      </c>
      <c r="R24" s="26" t="n">
        <f aca="false">'Mentee Blocks'!D260</f>
        <v>256.096774193548</v>
      </c>
      <c r="S24" s="26" t="n">
        <f aca="false">'Mentee Blocks'!E260</f>
        <v>253.903225806452</v>
      </c>
      <c r="T24" s="26" t="n">
        <f aca="false">'Mentee Blocks'!F260</f>
        <v>256.096774193548</v>
      </c>
      <c r="U24" s="26" t="n">
        <f aca="false">'Mentee Blocks'!G260</f>
        <v>255</v>
      </c>
      <c r="V24" s="26" t="n">
        <f aca="false">'Mentee Blocks'!H260+'Mentee Blocks'!I260</f>
        <v>339.010368663595</v>
      </c>
      <c r="W24" s="26" t="n">
        <f aca="false">'Mentee Blocks'!J260</f>
        <v>169.441244239631</v>
      </c>
      <c r="X24" s="26" t="n">
        <f aca="false">'Mentee Blocks'!K260</f>
        <v>155.751612903226</v>
      </c>
      <c r="Y24" s="26" t="n">
        <f aca="false">'Mentee Blocks'!L260</f>
        <v>162.248387096774</v>
      </c>
      <c r="Z24" s="26" t="n">
        <f aca="false">'Mentee Blocks'!M260</f>
        <v>97.4516129032258</v>
      </c>
      <c r="AA24" s="33" t="n">
        <v>0</v>
      </c>
      <c r="AB24" s="33" t="n">
        <v>0</v>
      </c>
      <c r="AC24" s="16" t="n">
        <f aca="false">SUM(B24:AB24)</f>
        <v>2421</v>
      </c>
    </row>
    <row r="25" customFormat="false" ht="15" hidden="false" customHeight="false" outlineLevel="0" collapsed="false">
      <c r="A25" s="6" t="s">
        <v>126</v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3" t="n">
        <v>0</v>
      </c>
      <c r="Q25" s="33" t="n">
        <v>0</v>
      </c>
      <c r="R25" s="26" t="n">
        <f aca="false">'Mentee Blocks'!B273</f>
        <v>180.967741935484</v>
      </c>
      <c r="S25" s="26" t="n">
        <f aca="false">'Mentee Blocks'!C273</f>
        <v>252.532258064516</v>
      </c>
      <c r="T25" s="26" t="n">
        <f aca="false">'Mentee Blocks'!D273</f>
        <v>257.467741935484</v>
      </c>
      <c r="U25" s="26" t="n">
        <f aca="false">'Mentee Blocks'!E273</f>
        <v>255</v>
      </c>
      <c r="V25" s="26" t="n">
        <f aca="false">'Mentee Blocks'!F273</f>
        <v>247.06797235023</v>
      </c>
      <c r="W25" s="26" t="n">
        <f aca="false">'Mentee Blocks'!G273</f>
        <v>262.93202764977</v>
      </c>
      <c r="X25" s="26" t="n">
        <f aca="false">'Mentee Blocks'!H273</f>
        <v>252.532258064516</v>
      </c>
      <c r="Y25" s="26" t="n">
        <f aca="false">'Mentee Blocks'!I273</f>
        <v>257.467741935484</v>
      </c>
      <c r="Z25" s="26" t="n">
        <f aca="false">'Mentee Blocks'!J273</f>
        <v>153.532258064516</v>
      </c>
      <c r="AA25" s="26" t="n">
        <f aca="false">'Mentee Blocks'!K273</f>
        <v>161.564516129032</v>
      </c>
      <c r="AB25" s="26" t="n">
        <f aca="false">'Mentee Blocks'!L273</f>
        <v>76.9354838709677</v>
      </c>
      <c r="AC25" s="16" t="n">
        <f aca="false">SUM(B25:AB25)</f>
        <v>2358</v>
      </c>
    </row>
    <row r="26" customFormat="false" ht="15" hidden="false" customHeight="false" outlineLevel="0" collapsed="false">
      <c r="A26" s="6" t="s">
        <v>128</v>
      </c>
      <c r="B26" s="33" t="n">
        <v>0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26" t="n">
        <f aca="false">'Mentee Blocks'!B286</f>
        <v>213.870967741936</v>
      </c>
      <c r="Q26" s="26" t="n">
        <f aca="false">'Mentee Blocks'!C286</f>
        <v>253.629032258065</v>
      </c>
      <c r="R26" s="26" t="n">
        <f aca="false">'Mentee Blocks'!D286</f>
        <v>256.370967741936</v>
      </c>
      <c r="S26" s="26" t="n">
        <f aca="false">'Mentee Blocks'!E286</f>
        <v>253.629032258065</v>
      </c>
      <c r="T26" s="26" t="n">
        <f aca="false">'Mentee Blocks'!F286</f>
        <v>256.370967741936</v>
      </c>
      <c r="U26" s="26" t="n">
        <f aca="false">'Mentee Blocks'!G286</f>
        <v>255</v>
      </c>
      <c r="V26" s="26" t="n">
        <f aca="false">'Mentee Blocks'!H286</f>
        <v>250.59331797235</v>
      </c>
      <c r="W26" s="26" t="n">
        <f aca="false">'Mentee Blocks'!I286</f>
        <v>259.40668202765</v>
      </c>
      <c r="X26" s="26" t="n">
        <f aca="false">'Mentee Blocks'!J286</f>
        <v>253.629032258065</v>
      </c>
      <c r="Y26" s="26" t="n">
        <f aca="false">'Mentee Blocks'!K286</f>
        <v>256.370967741936</v>
      </c>
      <c r="Z26" s="26" t="n">
        <f aca="false">'Mentee Blocks'!L286</f>
        <v>253.629032258065</v>
      </c>
      <c r="AA26" s="26" t="n">
        <f aca="false">'Mentee Blocks'!M286</f>
        <v>256.370967741936</v>
      </c>
      <c r="AB26" s="26" t="n">
        <f aca="false">'Mentee Blocks'!N286</f>
        <v>41.1290322580645</v>
      </c>
      <c r="AC26" s="16" t="n">
        <f aca="false">SUM(B26:AB26)</f>
        <v>3060</v>
      </c>
    </row>
    <row r="27" customFormat="false" ht="15" hidden="false" customHeight="false" outlineLevel="0" collapsed="false">
      <c r="A27" s="6" t="s">
        <v>130</v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3" t="n">
        <v>0</v>
      </c>
      <c r="Q27" s="33" t="n">
        <v>0</v>
      </c>
      <c r="R27" s="33" t="n">
        <v>0</v>
      </c>
      <c r="S27" s="33" t="n">
        <v>0</v>
      </c>
      <c r="T27" s="33" t="n">
        <v>0</v>
      </c>
      <c r="U27" s="26" t="n">
        <f aca="false">'Mentee Blocks'!B299</f>
        <v>180.967741935484</v>
      </c>
      <c r="V27" s="26" t="n">
        <f aca="false">'Mentee Blocks'!C299</f>
        <v>247.06797235023</v>
      </c>
      <c r="W27" s="26" t="n">
        <f aca="false">'Mentee Blocks'!D299</f>
        <v>262.93202764977</v>
      </c>
      <c r="X27" s="26" t="n">
        <f aca="false">'Mentee Blocks'!E299</f>
        <v>74.0322580645161</v>
      </c>
      <c r="Y27" s="26" t="n">
        <f aca="false">'Mentee Blocks'!F299</f>
        <v>0</v>
      </c>
      <c r="Z27" s="26" t="n">
        <f aca="false">'Mentee Blocks'!G299</f>
        <v>100.7</v>
      </c>
      <c r="AA27" s="26" t="n">
        <f aca="false">'Mentee Blocks'!H299</f>
        <v>58.3</v>
      </c>
      <c r="AB27" s="33" t="n">
        <v>0</v>
      </c>
      <c r="AC27" s="16" t="n">
        <f aca="false">SUM(B27:AB27)</f>
        <v>924</v>
      </c>
    </row>
    <row r="28" customFormat="false" ht="15" hidden="false" customHeight="false" outlineLevel="0" collapsed="false">
      <c r="A28" s="6" t="s">
        <v>132</v>
      </c>
      <c r="B28" s="33" t="n">
        <v>0</v>
      </c>
      <c r="C28" s="33" t="n">
        <v>0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0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0</v>
      </c>
      <c r="O28" s="33" t="n">
        <v>0</v>
      </c>
      <c r="P28" s="33" t="n">
        <v>0</v>
      </c>
      <c r="Q28" s="33" t="n">
        <v>0</v>
      </c>
      <c r="R28" s="33" t="n">
        <v>0</v>
      </c>
      <c r="S28" s="33" t="n">
        <v>0</v>
      </c>
      <c r="T28" s="33" t="n">
        <v>0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0</v>
      </c>
      <c r="Z28" s="26" t="n">
        <f aca="false">'Mentee Blocks'!B312</f>
        <v>8.5</v>
      </c>
      <c r="AA28" s="26" t="n">
        <f aca="false">'Mentee Blocks'!C312</f>
        <v>246.5</v>
      </c>
      <c r="AB28" s="33" t="n">
        <v>0</v>
      </c>
      <c r="AC28" s="16" t="n">
        <f aca="false">SUM(B28:AB28)</f>
        <v>255</v>
      </c>
    </row>
    <row r="29" customFormat="false" ht="15" hidden="false" customHeight="false" outlineLevel="0" collapsed="false">
      <c r="A29" s="6" t="s">
        <v>134</v>
      </c>
      <c r="B29" s="33" t="n">
        <v>0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26" t="n">
        <f aca="false">'Mentee Blocks'!B325</f>
        <v>81.9642857142857</v>
      </c>
      <c r="K29" s="26" t="n">
        <f aca="false">'Mentee Blocks'!C325</f>
        <v>271.745391705069</v>
      </c>
      <c r="L29" s="26" t="n">
        <f aca="false">'Mentee Blocks'!D325</f>
        <v>249.790322580645</v>
      </c>
      <c r="M29" s="26" t="n">
        <f aca="false">'Mentee Blocks'!E325</f>
        <v>260.209677419355</v>
      </c>
      <c r="N29" s="26" t="n">
        <f aca="false">'Mentee Blocks'!F325</f>
        <v>249.790322580645</v>
      </c>
      <c r="O29" s="26" t="n">
        <f aca="false">'Mentee Blocks'!G325</f>
        <v>260.209677419355</v>
      </c>
      <c r="P29" s="26" t="n">
        <f aca="false">'Mentee Blocks'!H325</f>
        <v>181.935483870968</v>
      </c>
      <c r="Q29" s="26" t="n">
        <f aca="false">'Mentee Blocks'!I325</f>
        <v>154.554838709677</v>
      </c>
      <c r="R29" s="26" t="n">
        <f aca="false">'Mentee Blocks'!J325</f>
        <v>163.445161290323</v>
      </c>
      <c r="S29" s="26" t="n">
        <f aca="false">'Mentee Blocks'!K325</f>
        <v>133.354838709677</v>
      </c>
      <c r="T29" s="33" t="n">
        <v>0</v>
      </c>
      <c r="U29" s="33" t="n">
        <v>0</v>
      </c>
      <c r="V29" s="33" t="n">
        <v>0</v>
      </c>
      <c r="W29" s="33" t="n">
        <v>0</v>
      </c>
      <c r="X29" s="33" t="n">
        <v>0</v>
      </c>
      <c r="Y29" s="33" t="n">
        <v>0</v>
      </c>
      <c r="Z29" s="33" t="n">
        <v>0</v>
      </c>
      <c r="AA29" s="33" t="n">
        <v>0</v>
      </c>
      <c r="AB29" s="33" t="n">
        <v>0</v>
      </c>
      <c r="AC29" s="16" t="n">
        <f aca="false">SUM(B29:AB29)</f>
        <v>2007</v>
      </c>
    </row>
    <row r="30" customFormat="false" ht="15" hidden="false" customHeight="false" outlineLevel="0" collapsed="false">
      <c r="A30" s="6" t="s">
        <v>136</v>
      </c>
      <c r="B30" s="33" t="n">
        <v>0</v>
      </c>
      <c r="C30" s="26" t="n">
        <f aca="false">'Mentee Blocks'!B338</f>
        <v>222.096774193548</v>
      </c>
      <c r="D30" s="26" t="n">
        <f aca="false">'Mentee Blocks'!C338</f>
        <v>148.064516129032</v>
      </c>
      <c r="E30" s="26" t="n">
        <f aca="false">'Mentee Blocks'!D338</f>
        <v>250.338709677419</v>
      </c>
      <c r="F30" s="26" t="n">
        <f aca="false">'Mentee Blocks'!E338</f>
        <v>251.435483870968</v>
      </c>
      <c r="G30" s="26" t="n">
        <f aca="false">'Mentee Blocks'!F338</f>
        <v>148.064516129032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0</v>
      </c>
      <c r="P30" s="33" t="n">
        <v>0</v>
      </c>
      <c r="Q30" s="33" t="n">
        <v>0</v>
      </c>
      <c r="R30" s="33" t="n">
        <v>0</v>
      </c>
      <c r="S30" s="33" t="n">
        <v>0</v>
      </c>
      <c r="T30" s="33" t="n">
        <v>0</v>
      </c>
      <c r="U30" s="33" t="n">
        <v>0</v>
      </c>
      <c r="V30" s="33" t="n">
        <v>0</v>
      </c>
      <c r="W30" s="33" t="n">
        <v>0</v>
      </c>
      <c r="X30" s="33" t="n">
        <v>0</v>
      </c>
      <c r="Y30" s="33" t="n">
        <v>0</v>
      </c>
      <c r="Z30" s="33" t="n">
        <v>0</v>
      </c>
      <c r="AA30" s="33" t="n">
        <v>0</v>
      </c>
      <c r="AB30" s="33" t="n">
        <v>0</v>
      </c>
      <c r="AC30" s="16" t="n">
        <f aca="false">SUM(B30:AB30)</f>
        <v>1020</v>
      </c>
    </row>
    <row r="31" customFormat="false" ht="15" hidden="false" customHeight="false" outlineLevel="0" collapsed="false">
      <c r="A31" s="6" t="s">
        <v>138</v>
      </c>
      <c r="B31" s="33" t="n">
        <v>0</v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0</v>
      </c>
      <c r="N31" s="33" t="n">
        <v>0</v>
      </c>
      <c r="O31" s="33" t="n">
        <v>0</v>
      </c>
      <c r="P31" s="26" t="n">
        <f aca="false">'Mentee Blocks'!B351</f>
        <v>139.838709677419</v>
      </c>
      <c r="Q31" s="26" t="n">
        <f aca="false">'Mentee Blocks'!C351</f>
        <v>302.161290322581</v>
      </c>
      <c r="R31" s="26" t="n">
        <f aca="false">'Mentee Blocks'!D351</f>
        <v>257.193548387097</v>
      </c>
      <c r="S31" s="26" t="n">
        <f aca="false">'Mentee Blocks'!E351</f>
        <v>252.806451612903</v>
      </c>
      <c r="T31" s="26" t="n">
        <f aca="false">'Mentee Blocks'!F351</f>
        <v>119.290322580645</v>
      </c>
      <c r="U31" s="26" t="n">
        <f aca="false">'Mentee Blocks'!G351</f>
        <v>159</v>
      </c>
      <c r="V31" s="26" t="n">
        <f aca="false">'Mentee Blocks'!H351</f>
        <v>147.459677419355</v>
      </c>
      <c r="W31" s="26" t="n">
        <f aca="false">'Mentee Blocks'!I351</f>
        <v>170.540322580645</v>
      </c>
      <c r="X31" s="26" t="n">
        <f aca="false">'Mentee Blocks'!J351</f>
        <v>155.409677419355</v>
      </c>
      <c r="Y31" s="26" t="n">
        <f aca="false">'Mentee Blocks'!K351</f>
        <v>111.3</v>
      </c>
      <c r="Z31" s="33" t="n">
        <v>0</v>
      </c>
      <c r="AA31" s="33" t="n">
        <v>0</v>
      </c>
      <c r="AB31" s="33" t="n">
        <v>0</v>
      </c>
      <c r="AC31" s="16" t="n">
        <f aca="false">SUM(B31:AB31)</f>
        <v>1815</v>
      </c>
    </row>
    <row r="32" customFormat="false" ht="15" hidden="false" customHeight="false" outlineLevel="0" collapsed="false">
      <c r="A32" s="4" t="s">
        <v>56</v>
      </c>
      <c r="B32" s="34" t="n">
        <f aca="false">SUM(B5:B31)</f>
        <v>70.8333333333333</v>
      </c>
      <c r="C32" s="34" t="n">
        <f aca="false">SUM(C5:C31)</f>
        <v>363.763440860215</v>
      </c>
      <c r="D32" s="34" t="n">
        <f aca="false">SUM(D5:D31)</f>
        <v>403.064516129032</v>
      </c>
      <c r="E32" s="34" t="n">
        <f aca="false">SUM(E5:E31)</f>
        <v>556.338709677419</v>
      </c>
      <c r="F32" s="34" t="n">
        <f aca="false">SUM(F5:F31)</f>
        <v>504.790322580645</v>
      </c>
      <c r="G32" s="34" t="n">
        <f aca="false">SUM(G5:G31)</f>
        <v>396.209677419355</v>
      </c>
      <c r="H32" s="34" t="n">
        <f aca="false">SUM(H5:H31)</f>
        <v>212.5</v>
      </c>
      <c r="I32" s="34" t="n">
        <f aca="false">SUM(I5:I31)</f>
        <v>230.322580645161</v>
      </c>
      <c r="J32" s="34" t="n">
        <f aca="false">SUM(J5:J31)</f>
        <v>334.320276497696</v>
      </c>
      <c r="K32" s="34" t="n">
        <f aca="false">SUM(K5:K31)</f>
        <v>529.389400921659</v>
      </c>
      <c r="L32" s="34" t="n">
        <f aca="false">SUM(L5:L31)</f>
        <v>707.967741935484</v>
      </c>
      <c r="M32" s="34" t="n">
        <f aca="false">SUM(M5:M31)</f>
        <v>1027.67741935484</v>
      </c>
      <c r="N32" s="34" t="n">
        <f aca="false">SUM(N5:N31)</f>
        <v>1017.62258064516</v>
      </c>
      <c r="O32" s="34" t="n">
        <f aca="false">SUM(O5:O31)</f>
        <v>936.635483870968</v>
      </c>
      <c r="P32" s="34" t="n">
        <f aca="false">SUM(P5:P31)</f>
        <v>1221.09677419355</v>
      </c>
      <c r="Q32" s="34" t="n">
        <f aca="false">SUM(Q5:Q31)</f>
        <v>1472.06774193548</v>
      </c>
      <c r="R32" s="34" t="n">
        <f aca="false">SUM(R5:R31)</f>
        <v>2040.35161290323</v>
      </c>
      <c r="S32" s="34" t="n">
        <f aca="false">SUM(S5:S31)</f>
        <v>2476.44838709677</v>
      </c>
      <c r="T32" s="34" t="n">
        <f aca="false">SUM(T5:T31)</f>
        <v>2466.58387096774</v>
      </c>
      <c r="U32" s="34" t="n">
        <f aca="false">SUM(U5:U31)</f>
        <v>2593.83870967742</v>
      </c>
      <c r="V32" s="34" t="n">
        <f aca="false">SUM(V5:V31)</f>
        <v>2583.46313364055</v>
      </c>
      <c r="W32" s="34" t="n">
        <f aca="false">SUM(W5:W31)</f>
        <v>2232.50460829493</v>
      </c>
      <c r="X32" s="34" t="n">
        <f aca="false">SUM(X5:X31)</f>
        <v>1892.70967741935</v>
      </c>
      <c r="Y32" s="34" t="n">
        <f aca="false">SUM(Y5:Y31)</f>
        <v>2969.8064516129</v>
      </c>
      <c r="Z32" s="34" t="n">
        <f aca="false">SUM(Z5:Z31)</f>
        <v>2983.5935483871</v>
      </c>
      <c r="AA32" s="34" t="n">
        <f aca="false">SUM(AA5:AA31)</f>
        <v>3230.95483870968</v>
      </c>
      <c r="AB32" s="34" t="n">
        <f aca="false">SUM(AB5:AB31)</f>
        <v>1237.64516129032</v>
      </c>
      <c r="AC32" s="34" t="n">
        <f aca="false">SUM(AC5:AC31)</f>
        <v>36692.5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78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3" t="s">
        <v>214</v>
      </c>
    </row>
    <row r="5" customFormat="false" ht="15" hidden="false" customHeight="false" outlineLevel="0" collapsed="false">
      <c r="A5" s="32" t="s">
        <v>215</v>
      </c>
      <c r="B5" s="32" t="s">
        <v>62</v>
      </c>
      <c r="C5" s="32" t="s">
        <v>216</v>
      </c>
    </row>
    <row r="6" customFormat="false" ht="15" hidden="false" customHeight="false" outlineLevel="0" collapsed="false">
      <c r="A6" s="4" t="s">
        <v>217</v>
      </c>
      <c r="B6" s="35" t="n">
        <f aca="false">SUM(B14:B30)</f>
        <v>2983.5935483871</v>
      </c>
      <c r="C6" s="36"/>
    </row>
    <row r="7" customFormat="false" ht="15" hidden="false" customHeight="false" outlineLevel="0" collapsed="false">
      <c r="A7" s="6" t="s">
        <v>218</v>
      </c>
      <c r="B7" s="30" t="n">
        <v>51.9064516129</v>
      </c>
      <c r="C7" s="36" t="s">
        <v>219</v>
      </c>
    </row>
    <row r="8" customFormat="false" ht="15" hidden="false" customHeight="false" outlineLevel="0" collapsed="false">
      <c r="A8" s="6" t="s">
        <v>220</v>
      </c>
      <c r="B8" s="30" t="n">
        <v>144.5</v>
      </c>
      <c r="C8" s="36" t="s">
        <v>221</v>
      </c>
    </row>
    <row r="9" customFormat="false" ht="15" hidden="false" customHeight="false" outlineLevel="0" collapsed="false">
      <c r="A9" s="6" t="s">
        <v>222</v>
      </c>
      <c r="B9" s="30" t="n">
        <v>93.5</v>
      </c>
      <c r="C9" s="36" t="s">
        <v>223</v>
      </c>
    </row>
    <row r="10" customFormat="false" ht="15" hidden="false" customHeight="false" outlineLevel="0" collapsed="false">
      <c r="A10" s="4" t="s">
        <v>224</v>
      </c>
      <c r="B10" s="35" t="n">
        <f aca="false">B6+B7+B8+B9</f>
        <v>3273.5</v>
      </c>
      <c r="C10" s="16" t="n">
        <f aca="false">B10-C31</f>
        <v>0</v>
      </c>
      <c r="D10" s="7" t="s">
        <v>225</v>
      </c>
    </row>
    <row r="12" customFormat="false" ht="15" hidden="false" customHeight="false" outlineLevel="0" collapsed="false">
      <c r="A12" s="3" t="s">
        <v>226</v>
      </c>
    </row>
    <row r="13" customFormat="false" ht="23.85" hidden="false" customHeight="false" outlineLevel="0" collapsed="false">
      <c r="A13" s="37" t="s">
        <v>155</v>
      </c>
      <c r="B13" s="37" t="s">
        <v>227</v>
      </c>
      <c r="C13" s="37" t="s">
        <v>228</v>
      </c>
      <c r="D13" s="37" t="s">
        <v>229</v>
      </c>
      <c r="E13" s="37" t="s">
        <v>230</v>
      </c>
      <c r="F13" s="37" t="s">
        <v>231</v>
      </c>
      <c r="G13" s="37" t="s">
        <v>232</v>
      </c>
    </row>
    <row r="14" customFormat="false" ht="22.35" hidden="false" customHeight="false" outlineLevel="0" collapsed="false">
      <c r="A14" s="6" t="s">
        <v>94</v>
      </c>
      <c r="B14" s="26" t="n">
        <f aca="false">'Monthly Roll-up'!Z13</f>
        <v>249.241935483871</v>
      </c>
      <c r="C14" s="30" t="n">
        <v>399.5</v>
      </c>
      <c r="D14" s="16" t="n">
        <f aca="false">B14-C14</f>
        <v>-150.258064516129</v>
      </c>
      <c r="E14" s="38" t="n">
        <v>399.5</v>
      </c>
      <c r="F14" s="39" t="n">
        <f aca="false">B14-E14</f>
        <v>-150.258064516129</v>
      </c>
      <c r="G14" s="40" t="s">
        <v>233</v>
      </c>
    </row>
    <row r="15" customFormat="false" ht="22.35" hidden="false" customHeight="false" outlineLevel="0" collapsed="false">
      <c r="A15" s="6" t="s">
        <v>118</v>
      </c>
      <c r="B15" s="26" t="n">
        <f aca="false">'Monthly Roll-up'!Z21</f>
        <v>260.483870967742</v>
      </c>
      <c r="C15" s="30" t="n">
        <v>357</v>
      </c>
      <c r="D15" s="16" t="n">
        <f aca="false">B15-C15</f>
        <v>-96.5161290322581</v>
      </c>
      <c r="E15" s="41" t="n">
        <v>307.5</v>
      </c>
      <c r="F15" s="39" t="n">
        <f aca="false">B15-E15</f>
        <v>-47.0161290322581</v>
      </c>
      <c r="G15" s="40" t="s">
        <v>234</v>
      </c>
    </row>
    <row r="16" customFormat="false" ht="15" hidden="false" customHeight="false" outlineLevel="0" collapsed="false">
      <c r="A16" s="6" t="s">
        <v>120</v>
      </c>
      <c r="B16" s="26" t="n">
        <f aca="false">'Monthly Roll-up'!Z22</f>
        <v>259.935483870968</v>
      </c>
      <c r="C16" s="30" t="n">
        <v>263.5</v>
      </c>
      <c r="D16" s="16" t="n">
        <f aca="false">B16-C16</f>
        <v>-3.56451612903226</v>
      </c>
      <c r="E16" s="41" t="n">
        <v>245.3</v>
      </c>
      <c r="F16" s="39" t="n">
        <f aca="false">B16-E16</f>
        <v>14.6354838709677</v>
      </c>
      <c r="G16" s="40" t="s">
        <v>235</v>
      </c>
    </row>
    <row r="17" customFormat="false" ht="15" hidden="false" customHeight="false" outlineLevel="0" collapsed="false">
      <c r="A17" s="6" t="s">
        <v>85</v>
      </c>
      <c r="B17" s="26" t="n">
        <f aca="false">'Monthly Roll-up'!Z9</f>
        <v>249.790322580645</v>
      </c>
      <c r="C17" s="30" t="n">
        <v>255</v>
      </c>
      <c r="D17" s="16" t="n">
        <f aca="false">B17-C17</f>
        <v>-5.20967741935482</v>
      </c>
      <c r="E17" s="38" t="n">
        <v>255</v>
      </c>
      <c r="F17" s="39" t="n">
        <f aca="false">B17-E17</f>
        <v>-5.20967741935482</v>
      </c>
      <c r="G17" s="40" t="s">
        <v>235</v>
      </c>
    </row>
    <row r="18" customFormat="false" ht="15" hidden="false" customHeight="false" outlineLevel="0" collapsed="false">
      <c r="A18" s="6" t="s">
        <v>78</v>
      </c>
      <c r="B18" s="26" t="n">
        <f aca="false">'Monthly Roll-up'!Z7</f>
        <v>249.790322580645</v>
      </c>
      <c r="C18" s="30" t="n">
        <v>255</v>
      </c>
      <c r="D18" s="16" t="n">
        <f aca="false">B18-C18</f>
        <v>-5.20967741935482</v>
      </c>
      <c r="E18" s="38" t="n">
        <v>255</v>
      </c>
      <c r="F18" s="39" t="n">
        <f aca="false">B18-E18</f>
        <v>-5.20967741935482</v>
      </c>
      <c r="G18" s="40" t="s">
        <v>235</v>
      </c>
    </row>
    <row r="19" customFormat="false" ht="15" hidden="false" customHeight="false" outlineLevel="0" collapsed="false">
      <c r="A19" s="6" t="s">
        <v>236</v>
      </c>
      <c r="B19" s="26" t="n">
        <f aca="false">'Monthly Roll-up'!Z16</f>
        <v>251.161290322581</v>
      </c>
      <c r="C19" s="30" t="n">
        <v>255</v>
      </c>
      <c r="D19" s="16" t="n">
        <f aca="false">B19-C19</f>
        <v>-3.83870967741933</v>
      </c>
      <c r="E19" s="38" t="n">
        <v>255</v>
      </c>
      <c r="F19" s="39" t="n">
        <f aca="false">B19-E19</f>
        <v>-3.83870967741933</v>
      </c>
      <c r="G19" s="40" t="s">
        <v>235</v>
      </c>
    </row>
    <row r="20" customFormat="false" ht="15" hidden="false" customHeight="false" outlineLevel="0" collapsed="false">
      <c r="A20" s="6" t="s">
        <v>88</v>
      </c>
      <c r="B20" s="26" t="n">
        <f aca="false">'Monthly Roll-up'!Z10</f>
        <v>251.435483870968</v>
      </c>
      <c r="C20" s="30" t="n">
        <v>255</v>
      </c>
      <c r="D20" s="16" t="n">
        <f aca="false">B20-C20</f>
        <v>-3.56451612903226</v>
      </c>
      <c r="E20" s="38" t="n">
        <v>255</v>
      </c>
      <c r="F20" s="39" t="n">
        <f aca="false">B20-E20</f>
        <v>-3.56451612903226</v>
      </c>
      <c r="G20" s="40" t="s">
        <v>235</v>
      </c>
    </row>
    <row r="21" customFormat="false" ht="15" hidden="false" customHeight="false" outlineLevel="0" collapsed="false">
      <c r="A21" s="6" t="s">
        <v>128</v>
      </c>
      <c r="B21" s="26" t="n">
        <f aca="false">'Monthly Roll-up'!Z26</f>
        <v>253.629032258065</v>
      </c>
      <c r="C21" s="30" t="n">
        <v>255</v>
      </c>
      <c r="D21" s="16" t="n">
        <f aca="false">B21-C21</f>
        <v>-1.37096774193549</v>
      </c>
      <c r="E21" s="38" t="n">
        <v>255</v>
      </c>
      <c r="F21" s="39" t="n">
        <f aca="false">B21-E21</f>
        <v>-1.37096774193549</v>
      </c>
      <c r="G21" s="40" t="s">
        <v>235</v>
      </c>
    </row>
    <row r="22" customFormat="false" ht="15" hidden="false" customHeight="false" outlineLevel="0" collapsed="false">
      <c r="A22" s="6" t="s">
        <v>114</v>
      </c>
      <c r="B22" s="26" t="n">
        <f aca="false">'Monthly Roll-up'!Z19</f>
        <v>222.096774193548</v>
      </c>
      <c r="C22" s="30" t="n">
        <v>229.5</v>
      </c>
      <c r="D22" s="16" t="n">
        <f aca="false">B22-C22</f>
        <v>-7.40322580645162</v>
      </c>
      <c r="E22" s="38" t="n">
        <v>229.5</v>
      </c>
      <c r="F22" s="39" t="n">
        <f aca="false">B22-E22</f>
        <v>-7.40322580645162</v>
      </c>
      <c r="G22" s="40" t="s">
        <v>235</v>
      </c>
    </row>
    <row r="23" customFormat="false" ht="15" hidden="false" customHeight="false" outlineLevel="0" collapsed="false">
      <c r="A23" s="6" t="s">
        <v>126</v>
      </c>
      <c r="B23" s="26" t="n">
        <f aca="false">'Monthly Roll-up'!Z25</f>
        <v>153.532258064516</v>
      </c>
      <c r="C23" s="30" t="n">
        <v>156</v>
      </c>
      <c r="D23" s="16" t="n">
        <f aca="false">B23-C23</f>
        <v>-2.4677419354839</v>
      </c>
      <c r="E23" s="41" t="n">
        <v>108</v>
      </c>
      <c r="F23" s="39" t="n">
        <f aca="false">B23-E23</f>
        <v>45.5322580645161</v>
      </c>
      <c r="G23" s="40" t="s">
        <v>235</v>
      </c>
    </row>
    <row r="24" customFormat="false" ht="15" hidden="false" customHeight="false" outlineLevel="0" collapsed="false">
      <c r="A24" s="6" t="s">
        <v>45</v>
      </c>
      <c r="B24" s="26" t="n">
        <f aca="false">'Monthly Roll-up'!Z5</f>
        <v>113.506451612903</v>
      </c>
      <c r="C24" s="30" t="n">
        <v>115.7</v>
      </c>
      <c r="D24" s="16" t="n">
        <f aca="false">B24-C24</f>
        <v>-2.19354838709678</v>
      </c>
      <c r="E24" s="38" t="n">
        <v>115.7</v>
      </c>
      <c r="F24" s="39" t="n">
        <f aca="false">B24-E24</f>
        <v>-2.19354838709678</v>
      </c>
      <c r="G24" s="40" t="s">
        <v>235</v>
      </c>
    </row>
    <row r="25" customFormat="false" ht="15" hidden="false" customHeight="false" outlineLevel="0" collapsed="false">
      <c r="A25" s="6" t="s">
        <v>96</v>
      </c>
      <c r="B25" s="26" t="n">
        <f aca="false">'Monthly Roll-up'!Z14</f>
        <v>110.5</v>
      </c>
      <c r="C25" s="30" t="n">
        <v>110.5</v>
      </c>
      <c r="D25" s="16" t="n">
        <f aca="false">B25-C25</f>
        <v>0</v>
      </c>
      <c r="E25" s="38" t="n">
        <v>110.5</v>
      </c>
      <c r="F25" s="39" t="n">
        <f aca="false">B25-E25</f>
        <v>0</v>
      </c>
      <c r="G25" s="40" t="s">
        <v>237</v>
      </c>
    </row>
    <row r="26" customFormat="false" ht="15" hidden="false" customHeight="false" outlineLevel="0" collapsed="false">
      <c r="A26" s="6" t="s">
        <v>124</v>
      </c>
      <c r="B26" s="26" t="n">
        <f aca="false">'Monthly Roll-up'!Z24</f>
        <v>97.4516129032258</v>
      </c>
      <c r="C26" s="30" t="n">
        <v>100.7</v>
      </c>
      <c r="D26" s="16" t="n">
        <f aca="false">B26-C26</f>
        <v>-3.2483870967742</v>
      </c>
      <c r="E26" s="38" t="n">
        <v>100.7</v>
      </c>
      <c r="F26" s="39" t="n">
        <f aca="false">B26-E26</f>
        <v>-3.2483870967742</v>
      </c>
      <c r="G26" s="40" t="s">
        <v>235</v>
      </c>
    </row>
    <row r="27" customFormat="false" ht="15" hidden="false" customHeight="false" outlineLevel="0" collapsed="false">
      <c r="A27" s="6" t="s">
        <v>130</v>
      </c>
      <c r="B27" s="26" t="n">
        <f aca="false">'Monthly Roll-up'!Z27</f>
        <v>100.7</v>
      </c>
      <c r="C27" s="30" t="n">
        <v>100.7</v>
      </c>
      <c r="D27" s="16" t="n">
        <f aca="false">B27-C27</f>
        <v>0</v>
      </c>
      <c r="E27" s="41" t="n">
        <v>5.7</v>
      </c>
      <c r="F27" s="39" t="n">
        <f aca="false">B27-E27</f>
        <v>95</v>
      </c>
      <c r="G27" s="40" t="s">
        <v>238</v>
      </c>
    </row>
    <row r="28" customFormat="false" ht="15" hidden="false" customHeight="false" outlineLevel="0" collapsed="false">
      <c r="A28" s="6" t="s">
        <v>112</v>
      </c>
      <c r="B28" s="26" t="n">
        <f aca="false">'Monthly Roll-up'!Z18</f>
        <v>85.1612903225806</v>
      </c>
      <c r="C28" s="30" t="n">
        <v>88</v>
      </c>
      <c r="D28" s="16" t="n">
        <f aca="false">B28-C28</f>
        <v>-2.83870967741936</v>
      </c>
      <c r="E28" s="38" t="n">
        <v>88</v>
      </c>
      <c r="F28" s="39" t="n">
        <f aca="false">B28-E28</f>
        <v>-2.83870967741936</v>
      </c>
      <c r="G28" s="40" t="s">
        <v>235</v>
      </c>
    </row>
    <row r="29" customFormat="false" ht="15" hidden="false" customHeight="false" outlineLevel="0" collapsed="false">
      <c r="A29" s="6" t="s">
        <v>92</v>
      </c>
      <c r="B29" s="26" t="n">
        <f aca="false">'Monthly Roll-up'!Z12</f>
        <v>66.6774193548387</v>
      </c>
      <c r="C29" s="30" t="n">
        <v>68.9</v>
      </c>
      <c r="D29" s="16" t="n">
        <f aca="false">B29-C29</f>
        <v>-2.22258064516129</v>
      </c>
      <c r="E29" s="41" t="n">
        <v>27.3</v>
      </c>
      <c r="F29" s="39" t="n">
        <f aca="false">B29-E29</f>
        <v>39.3774193548387</v>
      </c>
      <c r="G29" s="40" t="s">
        <v>235</v>
      </c>
    </row>
    <row r="30" customFormat="false" ht="15" hidden="false" customHeight="false" outlineLevel="0" collapsed="false">
      <c r="A30" s="6" t="s">
        <v>132</v>
      </c>
      <c r="B30" s="26" t="n">
        <f aca="false">'Monthly Roll-up'!Z28</f>
        <v>8.5</v>
      </c>
      <c r="C30" s="30" t="n">
        <v>8.5</v>
      </c>
      <c r="D30" s="16" t="n">
        <f aca="false">B30-C30</f>
        <v>0</v>
      </c>
      <c r="E30" s="41" t="n">
        <v>5</v>
      </c>
      <c r="F30" s="39" t="n">
        <f aca="false">B30-E30</f>
        <v>3.5</v>
      </c>
      <c r="G30" s="40" t="s">
        <v>239</v>
      </c>
    </row>
    <row r="31" customFormat="false" ht="15" hidden="false" customHeight="false" outlineLevel="0" collapsed="false">
      <c r="A31" s="4" t="s">
        <v>56</v>
      </c>
      <c r="B31" s="34" t="n">
        <f aca="false">SUM(B14:B30)</f>
        <v>2983.5935483871</v>
      </c>
      <c r="C31" s="34" t="n">
        <f aca="false">SUM(C14:C30)</f>
        <v>3273.5</v>
      </c>
      <c r="D31" s="34" t="n">
        <f aca="false">SUM(D14:D30)</f>
        <v>-289.906451612903</v>
      </c>
      <c r="E31" s="34" t="n">
        <f aca="false">SUM(E14:E30)</f>
        <v>3017.7</v>
      </c>
      <c r="F31" s="34" t="n">
        <f aca="false">SUM(F14:F30)</f>
        <v>-34.1064516129032</v>
      </c>
    </row>
    <row r="33" customFormat="false" ht="15" hidden="false" customHeight="false" outlineLevel="0" collapsed="false">
      <c r="A33" s="7" t="s">
        <v>240</v>
      </c>
    </row>
    <row r="34" customFormat="false" ht="15" hidden="false" customHeight="false" outlineLevel="0" collapsed="false">
      <c r="A34" s="7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62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23.85" hidden="false" customHeight="false" outlineLevel="0" collapsed="false">
      <c r="A4" s="37" t="s">
        <v>244</v>
      </c>
      <c r="B4" s="37" t="s">
        <v>245</v>
      </c>
      <c r="C4" s="37" t="s">
        <v>246</v>
      </c>
      <c r="D4" s="37" t="s">
        <v>247</v>
      </c>
      <c r="E4" s="37" t="s">
        <v>248</v>
      </c>
      <c r="F4" s="37" t="s">
        <v>249</v>
      </c>
      <c r="G4" s="37" t="s">
        <v>250</v>
      </c>
      <c r="H4" s="37" t="s">
        <v>251</v>
      </c>
      <c r="I4" s="37" t="s">
        <v>252</v>
      </c>
      <c r="J4" s="37" t="s">
        <v>253</v>
      </c>
    </row>
    <row r="5" customFormat="false" ht="15" hidden="false" customHeight="false" outlineLevel="0" collapsed="false">
      <c r="A5" s="6" t="s">
        <v>45</v>
      </c>
      <c r="B5" s="6" t="s">
        <v>254</v>
      </c>
      <c r="C5" s="6" t="s">
        <v>255</v>
      </c>
      <c r="D5" s="6" t="n">
        <v>277779</v>
      </c>
      <c r="E5" s="6" t="s">
        <v>45</v>
      </c>
      <c r="F5" s="6" t="s">
        <v>255</v>
      </c>
      <c r="G5" s="6" t="s">
        <v>256</v>
      </c>
      <c r="H5" s="6" t="n">
        <v>7</v>
      </c>
      <c r="I5" s="42" t="s">
        <v>257</v>
      </c>
      <c r="J5" s="6"/>
    </row>
    <row r="6" customFormat="false" ht="15" hidden="false" customHeight="false" outlineLevel="0" collapsed="false">
      <c r="A6" s="6" t="s">
        <v>69</v>
      </c>
      <c r="B6" s="6" t="s">
        <v>258</v>
      </c>
      <c r="C6" s="6" t="s">
        <v>255</v>
      </c>
      <c r="D6" s="6" t="n">
        <v>233476</v>
      </c>
      <c r="E6" s="6" t="s">
        <v>69</v>
      </c>
      <c r="F6" s="6" t="s">
        <v>255</v>
      </c>
      <c r="G6" s="6" t="s">
        <v>259</v>
      </c>
      <c r="H6" s="6" t="n">
        <v>6</v>
      </c>
      <c r="I6" s="6" t="s">
        <v>260</v>
      </c>
      <c r="J6" s="6"/>
    </row>
    <row r="7" customFormat="false" ht="15" hidden="false" customHeight="false" outlineLevel="0" collapsed="false">
      <c r="A7" s="6" t="s">
        <v>142</v>
      </c>
      <c r="B7" s="6" t="s">
        <v>261</v>
      </c>
      <c r="C7" s="6" t="s">
        <v>255</v>
      </c>
      <c r="D7" s="6" t="n">
        <v>302455</v>
      </c>
      <c r="E7" s="6" t="s">
        <v>142</v>
      </c>
      <c r="F7" s="6" t="s">
        <v>255</v>
      </c>
      <c r="G7" s="6" t="s">
        <v>259</v>
      </c>
      <c r="H7" s="6" t="n">
        <v>0</v>
      </c>
      <c r="I7" s="6" t="s">
        <v>260</v>
      </c>
      <c r="J7" s="6"/>
    </row>
    <row r="8" customFormat="false" ht="15" hidden="false" customHeight="false" outlineLevel="0" collapsed="false">
      <c r="A8" s="6" t="s">
        <v>78</v>
      </c>
      <c r="B8" s="6" t="s">
        <v>261</v>
      </c>
      <c r="C8" s="6" t="s">
        <v>255</v>
      </c>
      <c r="D8" s="6" t="n">
        <v>268818</v>
      </c>
      <c r="E8" s="6" t="s">
        <v>78</v>
      </c>
      <c r="F8" s="6" t="s">
        <v>255</v>
      </c>
      <c r="G8" s="6" t="s">
        <v>259</v>
      </c>
      <c r="H8" s="6" t="n">
        <v>7</v>
      </c>
      <c r="I8" s="42" t="s">
        <v>257</v>
      </c>
      <c r="J8" s="6"/>
    </row>
    <row r="9" customFormat="false" ht="15" hidden="false" customHeight="false" outlineLevel="0" collapsed="false">
      <c r="A9" s="6" t="s">
        <v>83</v>
      </c>
      <c r="B9" s="6" t="s">
        <v>261</v>
      </c>
      <c r="C9" s="6" t="s">
        <v>255</v>
      </c>
      <c r="D9" s="6" t="n">
        <v>294186</v>
      </c>
      <c r="E9" s="6" t="s">
        <v>83</v>
      </c>
      <c r="F9" s="6" t="s">
        <v>255</v>
      </c>
      <c r="G9" s="6" t="s">
        <v>259</v>
      </c>
      <c r="H9" s="6" t="n">
        <v>1</v>
      </c>
      <c r="I9" s="6" t="s">
        <v>260</v>
      </c>
      <c r="J9" s="6"/>
    </row>
    <row r="10" customFormat="false" ht="15" hidden="false" customHeight="false" outlineLevel="0" collapsed="false">
      <c r="A10" s="6" t="s">
        <v>85</v>
      </c>
      <c r="B10" s="6" t="s">
        <v>258</v>
      </c>
      <c r="C10" s="6" t="s">
        <v>255</v>
      </c>
      <c r="D10" s="6" t="n">
        <v>270161</v>
      </c>
      <c r="E10" s="6" t="s">
        <v>85</v>
      </c>
      <c r="F10" s="6" t="s">
        <v>255</v>
      </c>
      <c r="G10" s="6" t="s">
        <v>259</v>
      </c>
      <c r="H10" s="6" t="n">
        <v>10</v>
      </c>
      <c r="I10" s="42" t="s">
        <v>257</v>
      </c>
      <c r="J10" s="6"/>
    </row>
    <row r="11" customFormat="false" ht="15" hidden="false" customHeight="false" outlineLevel="0" collapsed="false">
      <c r="A11" s="6" t="s">
        <v>88</v>
      </c>
      <c r="B11" s="6" t="s">
        <v>261</v>
      </c>
      <c r="C11" s="6" t="s">
        <v>255</v>
      </c>
      <c r="D11" s="6" t="n">
        <v>289853</v>
      </c>
      <c r="E11" s="6" t="s">
        <v>88</v>
      </c>
      <c r="F11" s="6" t="s">
        <v>255</v>
      </c>
      <c r="G11" s="6" t="s">
        <v>259</v>
      </c>
      <c r="H11" s="6" t="n">
        <v>3</v>
      </c>
      <c r="I11" s="42" t="s">
        <v>257</v>
      </c>
      <c r="J11" s="6"/>
    </row>
    <row r="12" customFormat="false" ht="15" hidden="false" customHeight="false" outlineLevel="0" collapsed="false">
      <c r="A12" s="6" t="s">
        <v>90</v>
      </c>
      <c r="B12" s="6" t="s">
        <v>262</v>
      </c>
      <c r="C12" s="6" t="s">
        <v>255</v>
      </c>
      <c r="D12" s="6" t="n">
        <v>273442</v>
      </c>
      <c r="E12" s="6" t="s">
        <v>90</v>
      </c>
      <c r="F12" s="6" t="s">
        <v>255</v>
      </c>
      <c r="G12" s="6" t="s">
        <v>256</v>
      </c>
      <c r="H12" s="6" t="n">
        <v>4</v>
      </c>
      <c r="I12" s="6" t="s">
        <v>260</v>
      </c>
      <c r="J12" s="6"/>
    </row>
    <row r="13" customFormat="false" ht="15" hidden="false" customHeight="false" outlineLevel="0" collapsed="false">
      <c r="A13" s="6" t="s">
        <v>92</v>
      </c>
      <c r="B13" s="6" t="s">
        <v>262</v>
      </c>
      <c r="C13" s="6" t="s">
        <v>255</v>
      </c>
      <c r="D13" s="6" t="n">
        <v>273424</v>
      </c>
      <c r="E13" s="6" t="s">
        <v>92</v>
      </c>
      <c r="F13" s="6" t="s">
        <v>255</v>
      </c>
      <c r="G13" s="6" t="s">
        <v>256</v>
      </c>
      <c r="H13" s="6" t="n">
        <v>8</v>
      </c>
      <c r="I13" s="42" t="s">
        <v>257</v>
      </c>
      <c r="J13" s="6"/>
    </row>
    <row r="14" customFormat="false" ht="15" hidden="false" customHeight="false" outlineLevel="0" collapsed="false">
      <c r="A14" s="6" t="s">
        <v>94</v>
      </c>
      <c r="B14" s="6" t="s">
        <v>261</v>
      </c>
      <c r="C14" s="6" t="s">
        <v>255</v>
      </c>
      <c r="D14" s="6" t="n">
        <v>282788</v>
      </c>
      <c r="E14" s="6" t="s">
        <v>94</v>
      </c>
      <c r="F14" s="6" t="s">
        <v>255</v>
      </c>
      <c r="G14" s="6" t="s">
        <v>259</v>
      </c>
      <c r="H14" s="6" t="n">
        <v>4</v>
      </c>
      <c r="I14" s="42" t="s">
        <v>257</v>
      </c>
      <c r="J14" s="6"/>
    </row>
    <row r="15" customFormat="false" ht="15" hidden="false" customHeight="false" outlineLevel="0" collapsed="false">
      <c r="A15" s="6" t="s">
        <v>144</v>
      </c>
      <c r="B15" s="6" t="s">
        <v>263</v>
      </c>
      <c r="C15" s="6" t="s">
        <v>255</v>
      </c>
      <c r="D15" s="6" t="n">
        <v>278176</v>
      </c>
      <c r="E15" s="6" t="s">
        <v>144</v>
      </c>
      <c r="F15" s="6" t="s">
        <v>255</v>
      </c>
      <c r="G15" s="6" t="s">
        <v>264</v>
      </c>
      <c r="H15" s="6" t="n">
        <v>0</v>
      </c>
      <c r="I15" s="6" t="s">
        <v>260</v>
      </c>
      <c r="J15" s="6"/>
    </row>
    <row r="16" customFormat="false" ht="15" hidden="false" customHeight="false" outlineLevel="0" collapsed="false">
      <c r="A16" s="6" t="s">
        <v>96</v>
      </c>
      <c r="B16" s="6" t="s">
        <v>261</v>
      </c>
      <c r="C16" s="6" t="s">
        <v>255</v>
      </c>
      <c r="D16" s="6" t="n">
        <v>293922</v>
      </c>
      <c r="E16" s="6" t="s">
        <v>96</v>
      </c>
      <c r="F16" s="6" t="s">
        <v>255</v>
      </c>
      <c r="G16" s="6" t="s">
        <v>259</v>
      </c>
      <c r="H16" s="6" t="n">
        <v>2</v>
      </c>
      <c r="I16" s="42" t="s">
        <v>257</v>
      </c>
      <c r="J16" s="6"/>
    </row>
    <row r="17" customFormat="false" ht="15" hidden="false" customHeight="false" outlineLevel="0" collapsed="false">
      <c r="A17" s="6" t="s">
        <v>98</v>
      </c>
      <c r="B17" s="6" t="s">
        <v>265</v>
      </c>
      <c r="C17" s="6" t="s">
        <v>255</v>
      </c>
      <c r="D17" s="6" t="n">
        <v>237477</v>
      </c>
      <c r="E17" s="6" t="s">
        <v>98</v>
      </c>
      <c r="F17" s="6" t="s">
        <v>255</v>
      </c>
      <c r="G17" s="6" t="s">
        <v>259</v>
      </c>
      <c r="H17" s="6" t="n">
        <v>9</v>
      </c>
      <c r="I17" s="6" t="s">
        <v>260</v>
      </c>
      <c r="J17" s="6"/>
    </row>
    <row r="18" customFormat="false" ht="15" hidden="false" customHeight="false" outlineLevel="0" collapsed="false">
      <c r="A18" s="6" t="s">
        <v>108</v>
      </c>
      <c r="B18" s="6" t="s">
        <v>261</v>
      </c>
      <c r="C18" s="6" t="s">
        <v>255</v>
      </c>
      <c r="D18" s="6" t="n">
        <v>293645</v>
      </c>
      <c r="E18" s="6" t="s">
        <v>236</v>
      </c>
      <c r="F18" s="6" t="s">
        <v>255</v>
      </c>
      <c r="G18" s="6" t="s">
        <v>259</v>
      </c>
      <c r="H18" s="6" t="n">
        <v>3</v>
      </c>
      <c r="I18" s="42" t="s">
        <v>257</v>
      </c>
      <c r="J18" s="6"/>
    </row>
    <row r="19" customFormat="false" ht="15" hidden="false" customHeight="false" outlineLevel="0" collapsed="false">
      <c r="A19" s="6" t="s">
        <v>110</v>
      </c>
      <c r="B19" s="6" t="s">
        <v>261</v>
      </c>
      <c r="C19" s="6" t="s">
        <v>255</v>
      </c>
      <c r="D19" s="6" t="n">
        <v>299127</v>
      </c>
      <c r="E19" s="6" t="s">
        <v>110</v>
      </c>
      <c r="F19" s="6" t="s">
        <v>255</v>
      </c>
      <c r="G19" s="6" t="s">
        <v>259</v>
      </c>
      <c r="H19" s="6" t="n">
        <v>1</v>
      </c>
      <c r="I19" s="6" t="s">
        <v>260</v>
      </c>
      <c r="J19" s="6"/>
    </row>
    <row r="20" customFormat="false" ht="15" hidden="false" customHeight="false" outlineLevel="0" collapsed="false">
      <c r="A20" s="6" t="s">
        <v>112</v>
      </c>
      <c r="B20" s="6" t="s">
        <v>262</v>
      </c>
      <c r="C20" s="6" t="s">
        <v>255</v>
      </c>
      <c r="D20" s="6" t="n">
        <v>289531</v>
      </c>
      <c r="E20" s="6" t="s">
        <v>112</v>
      </c>
      <c r="F20" s="6" t="s">
        <v>255</v>
      </c>
      <c r="G20" s="6" t="s">
        <v>259</v>
      </c>
      <c r="H20" s="6" t="n">
        <v>1</v>
      </c>
      <c r="I20" s="42" t="s">
        <v>257</v>
      </c>
      <c r="J20" s="6"/>
    </row>
    <row r="21" customFormat="false" ht="15" hidden="false" customHeight="false" outlineLevel="0" collapsed="false">
      <c r="A21" s="6" t="s">
        <v>114</v>
      </c>
      <c r="B21" s="6" t="s">
        <v>254</v>
      </c>
      <c r="C21" s="6" t="s">
        <v>255</v>
      </c>
      <c r="D21" s="6" t="n">
        <v>267739</v>
      </c>
      <c r="E21" s="6" t="s">
        <v>114</v>
      </c>
      <c r="F21" s="6" t="s">
        <v>255</v>
      </c>
      <c r="G21" s="6" t="s">
        <v>256</v>
      </c>
      <c r="H21" s="6" t="n">
        <v>10</v>
      </c>
      <c r="I21" s="42" t="s">
        <v>257</v>
      </c>
      <c r="J21" s="6"/>
    </row>
    <row r="22" customFormat="false" ht="15" hidden="false" customHeight="false" outlineLevel="0" collapsed="false">
      <c r="A22" s="6" t="s">
        <v>116</v>
      </c>
      <c r="B22" s="6" t="s">
        <v>258</v>
      </c>
      <c r="C22" s="6" t="s">
        <v>255</v>
      </c>
      <c r="D22" s="6" t="n">
        <v>249296</v>
      </c>
      <c r="E22" s="6" t="s">
        <v>116</v>
      </c>
      <c r="F22" s="6" t="s">
        <v>255</v>
      </c>
      <c r="G22" s="6" t="s">
        <v>259</v>
      </c>
      <c r="H22" s="6" t="n">
        <v>4</v>
      </c>
      <c r="I22" s="6" t="s">
        <v>260</v>
      </c>
      <c r="J22" s="6"/>
    </row>
    <row r="23" customFormat="false" ht="15" hidden="false" customHeight="false" outlineLevel="0" collapsed="false">
      <c r="A23" s="6" t="s">
        <v>118</v>
      </c>
      <c r="B23" s="6" t="s">
        <v>261</v>
      </c>
      <c r="C23" s="6" t="s">
        <v>255</v>
      </c>
      <c r="D23" s="6" t="n">
        <v>289870</v>
      </c>
      <c r="E23" s="6" t="s">
        <v>118</v>
      </c>
      <c r="F23" s="6" t="s">
        <v>255</v>
      </c>
      <c r="G23" s="6" t="s">
        <v>259</v>
      </c>
      <c r="H23" s="6" t="n">
        <v>3</v>
      </c>
      <c r="I23" s="42" t="s">
        <v>257</v>
      </c>
      <c r="J23" s="6"/>
    </row>
    <row r="24" customFormat="false" ht="15" hidden="false" customHeight="false" outlineLevel="0" collapsed="false">
      <c r="A24" s="6" t="s">
        <v>120</v>
      </c>
      <c r="B24" s="6" t="s">
        <v>261</v>
      </c>
      <c r="C24" s="6" t="s">
        <v>255</v>
      </c>
      <c r="D24" s="6" t="n">
        <v>289030</v>
      </c>
      <c r="E24" s="6" t="s">
        <v>120</v>
      </c>
      <c r="F24" s="6" t="s">
        <v>255</v>
      </c>
      <c r="G24" s="6" t="s">
        <v>259</v>
      </c>
      <c r="H24" s="6" t="n">
        <v>3</v>
      </c>
      <c r="I24" s="42" t="s">
        <v>257</v>
      </c>
      <c r="J24" s="6"/>
    </row>
    <row r="25" customFormat="false" ht="15" hidden="false" customHeight="false" outlineLevel="0" collapsed="false">
      <c r="A25" s="6" t="s">
        <v>122</v>
      </c>
      <c r="B25" s="6" t="s">
        <v>262</v>
      </c>
      <c r="C25" s="6" t="s">
        <v>255</v>
      </c>
      <c r="D25" s="6" t="n">
        <v>261565</v>
      </c>
      <c r="E25" s="6" t="s">
        <v>122</v>
      </c>
      <c r="F25" s="6" t="s">
        <v>255</v>
      </c>
      <c r="G25" s="6" t="s">
        <v>266</v>
      </c>
      <c r="H25" s="6" t="n">
        <v>8</v>
      </c>
      <c r="I25" s="6" t="s">
        <v>260</v>
      </c>
      <c r="J25" s="6"/>
    </row>
    <row r="26" customFormat="false" ht="15" hidden="false" customHeight="false" outlineLevel="0" collapsed="false">
      <c r="A26" s="6" t="s">
        <v>124</v>
      </c>
      <c r="B26" s="6" t="s">
        <v>262</v>
      </c>
      <c r="C26" s="6" t="s">
        <v>255</v>
      </c>
      <c r="D26" s="6" t="n">
        <v>267682</v>
      </c>
      <c r="E26" s="6" t="s">
        <v>124</v>
      </c>
      <c r="F26" s="6" t="s">
        <v>255</v>
      </c>
      <c r="G26" s="6" t="s">
        <v>256</v>
      </c>
      <c r="H26" s="6" t="n">
        <v>11</v>
      </c>
      <c r="I26" s="42" t="s">
        <v>257</v>
      </c>
      <c r="J26" s="6"/>
    </row>
    <row r="27" customFormat="false" ht="15" hidden="false" customHeight="false" outlineLevel="0" collapsed="false">
      <c r="A27" s="6" t="s">
        <v>126</v>
      </c>
      <c r="B27" s="6" t="s">
        <v>254</v>
      </c>
      <c r="C27" s="6" t="s">
        <v>255</v>
      </c>
      <c r="D27" s="6" t="n">
        <v>275280</v>
      </c>
      <c r="E27" s="6" t="s">
        <v>126</v>
      </c>
      <c r="F27" s="6" t="s">
        <v>255</v>
      </c>
      <c r="G27" s="6" t="s">
        <v>256</v>
      </c>
      <c r="H27" s="6" t="n">
        <v>10</v>
      </c>
      <c r="I27" s="42" t="s">
        <v>257</v>
      </c>
      <c r="J27" s="6"/>
    </row>
    <row r="28" customFormat="false" ht="15" hidden="false" customHeight="false" outlineLevel="0" collapsed="false">
      <c r="A28" s="6" t="s">
        <v>128</v>
      </c>
      <c r="B28" s="6" t="s">
        <v>261</v>
      </c>
      <c r="C28" s="6" t="s">
        <v>255</v>
      </c>
      <c r="D28" s="6" t="n">
        <v>266034</v>
      </c>
      <c r="E28" s="6" t="s">
        <v>128</v>
      </c>
      <c r="F28" s="6" t="s">
        <v>255</v>
      </c>
      <c r="G28" s="6" t="s">
        <v>259</v>
      </c>
      <c r="H28" s="6" t="n">
        <v>12</v>
      </c>
      <c r="I28" s="42" t="s">
        <v>257</v>
      </c>
      <c r="J28" s="6"/>
    </row>
    <row r="29" customFormat="false" ht="15" hidden="false" customHeight="false" outlineLevel="0" collapsed="false">
      <c r="A29" s="6" t="s">
        <v>130</v>
      </c>
      <c r="B29" s="6" t="s">
        <v>254</v>
      </c>
      <c r="C29" s="6" t="s">
        <v>255</v>
      </c>
      <c r="D29" s="6" t="n">
        <v>280895</v>
      </c>
      <c r="E29" s="6" t="s">
        <v>130</v>
      </c>
      <c r="F29" s="6" t="s">
        <v>255</v>
      </c>
      <c r="G29" s="6" t="s">
        <v>256</v>
      </c>
      <c r="H29" s="6" t="n">
        <v>4</v>
      </c>
      <c r="I29" s="42" t="s">
        <v>257</v>
      </c>
      <c r="J29" s="6"/>
    </row>
    <row r="30" customFormat="false" ht="15" hidden="false" customHeight="false" outlineLevel="0" collapsed="false">
      <c r="A30" s="6" t="s">
        <v>146</v>
      </c>
      <c r="B30" s="6" t="s">
        <v>263</v>
      </c>
      <c r="C30" s="6" t="s">
        <v>255</v>
      </c>
      <c r="D30" s="6" t="n">
        <v>301584</v>
      </c>
      <c r="E30" s="6" t="s">
        <v>146</v>
      </c>
      <c r="F30" s="6" t="s">
        <v>255</v>
      </c>
      <c r="G30" s="6" t="s">
        <v>264</v>
      </c>
      <c r="H30" s="6" t="n">
        <v>0</v>
      </c>
      <c r="I30" s="6" t="s">
        <v>260</v>
      </c>
      <c r="J30" s="6"/>
    </row>
    <row r="31" customFormat="false" ht="15" hidden="false" customHeight="false" outlineLevel="0" collapsed="false">
      <c r="A31" s="6" t="s">
        <v>148</v>
      </c>
      <c r="B31" s="6" t="s">
        <v>263</v>
      </c>
      <c r="C31" s="6" t="s">
        <v>255</v>
      </c>
      <c r="D31" s="6" t="n">
        <v>296245</v>
      </c>
      <c r="E31" s="6" t="s">
        <v>148</v>
      </c>
      <c r="F31" s="6" t="s">
        <v>255</v>
      </c>
      <c r="G31" s="6" t="s">
        <v>264</v>
      </c>
      <c r="H31" s="6" t="n">
        <v>0</v>
      </c>
      <c r="I31" s="6" t="s">
        <v>260</v>
      </c>
      <c r="J31" s="43" t="s">
        <v>267</v>
      </c>
    </row>
    <row r="32" customFormat="false" ht="15" hidden="false" customHeight="false" outlineLevel="0" collapsed="false">
      <c r="A32" s="6" t="s">
        <v>132</v>
      </c>
      <c r="B32" s="6" t="s">
        <v>261</v>
      </c>
      <c r="C32" s="6" t="s">
        <v>255</v>
      </c>
      <c r="D32" s="6" t="n">
        <v>113068</v>
      </c>
      <c r="E32" s="6" t="s">
        <v>132</v>
      </c>
      <c r="F32" s="6" t="s">
        <v>255</v>
      </c>
      <c r="G32" s="6" t="s">
        <v>259</v>
      </c>
      <c r="H32" s="6" t="n">
        <v>1</v>
      </c>
      <c r="I32" s="42" t="s">
        <v>257</v>
      </c>
      <c r="J32" s="6"/>
    </row>
    <row r="33" customFormat="false" ht="15" hidden="false" customHeight="false" outlineLevel="0" collapsed="false">
      <c r="A33" s="6" t="s">
        <v>134</v>
      </c>
      <c r="B33" s="6" t="s">
        <v>262</v>
      </c>
      <c r="C33" s="6" t="s">
        <v>255</v>
      </c>
      <c r="D33" s="6" t="n">
        <v>250881</v>
      </c>
      <c r="E33" s="6" t="s">
        <v>268</v>
      </c>
      <c r="F33" s="6" t="s">
        <v>255</v>
      </c>
      <c r="G33" s="6" t="s">
        <v>256</v>
      </c>
      <c r="H33" s="6" t="n">
        <v>9</v>
      </c>
      <c r="I33" s="6" t="s">
        <v>260</v>
      </c>
      <c r="J33" s="6"/>
    </row>
    <row r="34" customFormat="false" ht="15" hidden="false" customHeight="false" outlineLevel="0" collapsed="false">
      <c r="A34" s="6" t="s">
        <v>136</v>
      </c>
      <c r="B34" s="6" t="s">
        <v>258</v>
      </c>
      <c r="C34" s="6" t="s">
        <v>255</v>
      </c>
      <c r="D34" s="6" t="n">
        <v>230660</v>
      </c>
      <c r="E34" s="6" t="s">
        <v>136</v>
      </c>
      <c r="F34" s="6" t="s">
        <v>255</v>
      </c>
      <c r="G34" s="6" t="s">
        <v>259</v>
      </c>
      <c r="H34" s="6" t="n">
        <v>4</v>
      </c>
      <c r="I34" s="6" t="s">
        <v>260</v>
      </c>
      <c r="J34" s="6"/>
    </row>
    <row r="35" customFormat="false" ht="15" hidden="false" customHeight="false" outlineLevel="0" collapsed="false">
      <c r="A35" s="6" t="s">
        <v>150</v>
      </c>
      <c r="B35" s="6" t="s">
        <v>263</v>
      </c>
      <c r="C35" s="6" t="s">
        <v>255</v>
      </c>
      <c r="D35" s="6" t="n">
        <v>296368</v>
      </c>
      <c r="E35" s="6" t="s">
        <v>150</v>
      </c>
      <c r="F35" s="6" t="s">
        <v>255</v>
      </c>
      <c r="G35" s="6" t="s">
        <v>264</v>
      </c>
      <c r="H35" s="6" t="n">
        <v>0</v>
      </c>
      <c r="I35" s="6" t="s">
        <v>260</v>
      </c>
      <c r="J35" s="6"/>
    </row>
    <row r="36" customFormat="false" ht="15" hidden="false" customHeight="false" outlineLevel="0" collapsed="false">
      <c r="A36" s="6" t="s">
        <v>138</v>
      </c>
      <c r="B36" s="6" t="s">
        <v>262</v>
      </c>
      <c r="C36" s="6" t="s">
        <v>255</v>
      </c>
      <c r="D36" s="6" t="n">
        <v>262680</v>
      </c>
      <c r="E36" s="6" t="s">
        <v>138</v>
      </c>
      <c r="F36" s="6" t="s">
        <v>255</v>
      </c>
      <c r="G36" s="6" t="s">
        <v>256</v>
      </c>
      <c r="H36" s="6" t="n">
        <v>9</v>
      </c>
      <c r="I36" s="6" t="s">
        <v>260</v>
      </c>
      <c r="J36" s="6"/>
    </row>
    <row r="39" customFormat="false" ht="15" hidden="false" customHeight="false" outlineLevel="0" collapsed="false">
      <c r="A39" s="3" t="s">
        <v>269</v>
      </c>
    </row>
    <row r="40" customFormat="false" ht="15" hidden="false" customHeight="false" outlineLevel="0" collapsed="false">
      <c r="A40" s="32" t="s">
        <v>248</v>
      </c>
      <c r="B40" s="32" t="s">
        <v>247</v>
      </c>
      <c r="C40" s="32" t="s">
        <v>250</v>
      </c>
      <c r="D40" s="32" t="s">
        <v>270</v>
      </c>
      <c r="E40" s="32" t="s">
        <v>246</v>
      </c>
      <c r="F40" s="32" t="s">
        <v>245</v>
      </c>
      <c r="G40" s="32" t="s">
        <v>271</v>
      </c>
    </row>
    <row r="41" customFormat="false" ht="124.6" hidden="false" customHeight="false" outlineLevel="0" collapsed="false">
      <c r="A41" s="6" t="s">
        <v>272</v>
      </c>
      <c r="B41" s="6" t="n">
        <v>301320</v>
      </c>
      <c r="C41" s="6" t="s">
        <v>259</v>
      </c>
      <c r="D41" s="6" t="s">
        <v>273</v>
      </c>
      <c r="E41" s="6" t="s">
        <v>274</v>
      </c>
      <c r="F41" s="6" t="s">
        <v>263</v>
      </c>
      <c r="G41" s="44" t="s">
        <v>275</v>
      </c>
    </row>
    <row r="42" customFormat="false" ht="35.05" hidden="false" customHeight="false" outlineLevel="0" collapsed="false">
      <c r="A42" s="6" t="s">
        <v>276</v>
      </c>
      <c r="B42" s="6" t="n">
        <v>252530</v>
      </c>
      <c r="C42" s="6" t="s">
        <v>256</v>
      </c>
      <c r="D42" s="6" t="s">
        <v>277</v>
      </c>
      <c r="E42" s="6" t="s">
        <v>278</v>
      </c>
      <c r="F42" s="6" t="s">
        <v>258</v>
      </c>
      <c r="G42" s="44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8"/>
    <col collapsed="false" customWidth="true" hidden="false" outlineLevel="0" max="5" min="5" style="0" width="56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52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37" t="s">
        <v>155</v>
      </c>
      <c r="B4" s="37" t="s">
        <v>282</v>
      </c>
      <c r="C4" s="37" t="s">
        <v>58</v>
      </c>
      <c r="D4" s="37" t="s">
        <v>156</v>
      </c>
      <c r="E4" s="37" t="s">
        <v>283</v>
      </c>
      <c r="F4" s="37" t="s">
        <v>284</v>
      </c>
      <c r="G4" s="37" t="s">
        <v>285</v>
      </c>
      <c r="H4" s="37" t="s">
        <v>286</v>
      </c>
      <c r="I4" s="37" t="s">
        <v>287</v>
      </c>
      <c r="J4" s="37" t="s">
        <v>288</v>
      </c>
      <c r="K4" s="37" t="s">
        <v>289</v>
      </c>
    </row>
    <row r="5" customFormat="false" ht="15" hidden="false" customHeight="false" outlineLevel="0" collapsed="false">
      <c r="A5" s="6" t="s">
        <v>45</v>
      </c>
      <c r="B5" s="6" t="n">
        <v>277779</v>
      </c>
      <c r="C5" s="6" t="n">
        <v>3803</v>
      </c>
      <c r="D5" s="45" t="n">
        <v>45999</v>
      </c>
      <c r="E5" s="6" t="s">
        <v>290</v>
      </c>
      <c r="F5" s="6" t="s">
        <v>259</v>
      </c>
      <c r="G5" s="15" t="n">
        <v>425</v>
      </c>
      <c r="H5" s="15" t="n">
        <v>425</v>
      </c>
      <c r="I5" s="15" t="n">
        <v>425</v>
      </c>
      <c r="J5" s="6" t="s">
        <v>64</v>
      </c>
      <c r="K5" s="6" t="s">
        <v>64</v>
      </c>
    </row>
    <row r="6" customFormat="false" ht="15" hidden="false" customHeight="false" outlineLevel="0" collapsed="false">
      <c r="A6" s="6" t="s">
        <v>45</v>
      </c>
      <c r="B6" s="6" t="n">
        <v>277779</v>
      </c>
      <c r="C6" s="6" t="n">
        <v>3857</v>
      </c>
      <c r="D6" s="45" t="n">
        <v>46030</v>
      </c>
      <c r="E6" s="6" t="s">
        <v>290</v>
      </c>
      <c r="F6" s="6" t="s">
        <v>259</v>
      </c>
      <c r="G6" s="15" t="n">
        <v>425</v>
      </c>
      <c r="H6" s="15" t="n">
        <v>425</v>
      </c>
      <c r="I6" s="15" t="n">
        <v>425</v>
      </c>
      <c r="J6" s="6" t="s">
        <v>64</v>
      </c>
      <c r="K6" s="6" t="s">
        <v>64</v>
      </c>
    </row>
    <row r="7" customFormat="false" ht="15" hidden="false" customHeight="false" outlineLevel="0" collapsed="false">
      <c r="A7" s="6" t="s">
        <v>45</v>
      </c>
      <c r="B7" s="6" t="n">
        <v>277779</v>
      </c>
      <c r="C7" s="6" t="n">
        <v>3910</v>
      </c>
      <c r="D7" s="45" t="n">
        <v>46061</v>
      </c>
      <c r="E7" s="6" t="s">
        <v>290</v>
      </c>
      <c r="F7" s="6" t="s">
        <v>259</v>
      </c>
      <c r="G7" s="15" t="n">
        <v>425</v>
      </c>
      <c r="H7" s="15" t="n">
        <v>425</v>
      </c>
      <c r="I7" s="15" t="n">
        <v>425</v>
      </c>
      <c r="J7" s="6" t="s">
        <v>64</v>
      </c>
      <c r="K7" s="6" t="s">
        <v>64</v>
      </c>
    </row>
    <row r="8" customFormat="false" ht="15" hidden="false" customHeight="false" outlineLevel="0" collapsed="false">
      <c r="A8" s="6" t="s">
        <v>45</v>
      </c>
      <c r="B8" s="6" t="n">
        <v>277779</v>
      </c>
      <c r="C8" s="6" t="n">
        <v>3958</v>
      </c>
      <c r="D8" s="45" t="n">
        <v>46089</v>
      </c>
      <c r="E8" s="6" t="s">
        <v>290</v>
      </c>
      <c r="F8" s="6" t="s">
        <v>259</v>
      </c>
      <c r="G8" s="15" t="n">
        <v>425</v>
      </c>
      <c r="H8" s="15" t="n">
        <v>425</v>
      </c>
      <c r="I8" s="15" t="n">
        <v>425</v>
      </c>
      <c r="J8" s="6" t="s">
        <v>64</v>
      </c>
      <c r="K8" s="6" t="s">
        <v>64</v>
      </c>
    </row>
    <row r="9" customFormat="false" ht="15" hidden="false" customHeight="false" outlineLevel="0" collapsed="false">
      <c r="A9" s="6" t="s">
        <v>45</v>
      </c>
      <c r="B9" s="6" t="n">
        <v>277779</v>
      </c>
      <c r="C9" s="6" t="n">
        <v>4015</v>
      </c>
      <c r="D9" s="45" t="n">
        <v>46120</v>
      </c>
      <c r="E9" s="6" t="s">
        <v>290</v>
      </c>
      <c r="F9" s="6" t="s">
        <v>259</v>
      </c>
      <c r="G9" s="15" t="n">
        <v>425</v>
      </c>
      <c r="H9" s="15" t="n">
        <v>425</v>
      </c>
      <c r="I9" s="15" t="n">
        <v>425</v>
      </c>
      <c r="J9" s="6" t="s">
        <v>64</v>
      </c>
      <c r="K9" s="6" t="s">
        <v>64</v>
      </c>
    </row>
    <row r="10" customFormat="false" ht="15" hidden="false" customHeight="false" outlineLevel="0" collapsed="false">
      <c r="A10" s="6" t="s">
        <v>45</v>
      </c>
      <c r="B10" s="6" t="n">
        <v>277779</v>
      </c>
      <c r="C10" s="6" t="n">
        <v>4071</v>
      </c>
      <c r="D10" s="45" t="n">
        <v>46150</v>
      </c>
      <c r="E10" s="6" t="s">
        <v>290</v>
      </c>
      <c r="F10" s="6" t="s">
        <v>259</v>
      </c>
      <c r="G10" s="15" t="n">
        <v>425</v>
      </c>
      <c r="H10" s="15" t="n">
        <v>425</v>
      </c>
      <c r="I10" s="15" t="n">
        <v>425</v>
      </c>
      <c r="J10" s="6" t="s">
        <v>64</v>
      </c>
      <c r="K10" s="6" t="s">
        <v>64</v>
      </c>
    </row>
    <row r="11" customFormat="false" ht="15" hidden="false" customHeight="false" outlineLevel="0" collapsed="false">
      <c r="A11" s="6" t="s">
        <v>45</v>
      </c>
      <c r="B11" s="6" t="n">
        <v>277779</v>
      </c>
      <c r="C11" s="6" t="n">
        <v>4170</v>
      </c>
      <c r="D11" s="45" t="n">
        <v>46194</v>
      </c>
      <c r="E11" s="6" t="s">
        <v>291</v>
      </c>
      <c r="F11" s="6" t="s">
        <v>256</v>
      </c>
      <c r="G11" s="15" t="n">
        <v>265</v>
      </c>
      <c r="H11" s="15" t="n">
        <v>265</v>
      </c>
      <c r="I11" s="15" t="n">
        <v>265</v>
      </c>
      <c r="J11" s="6" t="s">
        <v>64</v>
      </c>
      <c r="K11" s="6" t="s">
        <v>64</v>
      </c>
    </row>
    <row r="12" customFormat="false" ht="15" hidden="false" customHeight="false" outlineLevel="0" collapsed="false">
      <c r="A12" s="6" t="s">
        <v>69</v>
      </c>
      <c r="B12" s="6" t="n">
        <v>233476</v>
      </c>
      <c r="C12" s="6" t="n">
        <v>3065</v>
      </c>
      <c r="D12" s="45" t="n">
        <v>45463</v>
      </c>
      <c r="E12" s="6" t="s">
        <v>292</v>
      </c>
      <c r="F12" s="6" t="s">
        <v>259</v>
      </c>
      <c r="G12" s="15" t="n">
        <v>425</v>
      </c>
      <c r="H12" s="15" t="n">
        <v>460</v>
      </c>
      <c r="I12" s="15" t="n">
        <v>460</v>
      </c>
      <c r="J12" s="6" t="s">
        <v>293</v>
      </c>
      <c r="K12" s="6" t="s">
        <v>64</v>
      </c>
    </row>
    <row r="13" customFormat="false" ht="15" hidden="false" customHeight="false" outlineLevel="0" collapsed="false">
      <c r="A13" s="6" t="s">
        <v>69</v>
      </c>
      <c r="B13" s="6" t="n">
        <v>233476</v>
      </c>
      <c r="C13" s="6" t="n">
        <v>3117</v>
      </c>
      <c r="D13" s="45" t="n">
        <v>45504</v>
      </c>
      <c r="E13" s="6" t="s">
        <v>292</v>
      </c>
      <c r="F13" s="6" t="s">
        <v>259</v>
      </c>
      <c r="G13" s="15" t="n">
        <v>425</v>
      </c>
      <c r="H13" s="15" t="n">
        <v>425</v>
      </c>
      <c r="I13" s="15" t="n">
        <v>425</v>
      </c>
      <c r="J13" s="6" t="s">
        <v>64</v>
      </c>
      <c r="K13" s="6" t="s">
        <v>64</v>
      </c>
    </row>
    <row r="14" customFormat="false" ht="15" hidden="false" customHeight="false" outlineLevel="0" collapsed="false">
      <c r="A14" s="6" t="s">
        <v>69</v>
      </c>
      <c r="B14" s="6" t="n">
        <v>233476</v>
      </c>
      <c r="C14" s="6" t="n">
        <v>3164</v>
      </c>
      <c r="D14" s="45" t="n">
        <v>45536</v>
      </c>
      <c r="E14" s="6" t="s">
        <v>292</v>
      </c>
      <c r="F14" s="6" t="s">
        <v>259</v>
      </c>
      <c r="G14" s="15" t="n">
        <v>425</v>
      </c>
      <c r="H14" s="15" t="n">
        <v>425</v>
      </c>
      <c r="I14" s="15" t="n">
        <v>425</v>
      </c>
      <c r="J14" s="6" t="s">
        <v>64</v>
      </c>
      <c r="K14" s="6" t="s">
        <v>64</v>
      </c>
    </row>
    <row r="15" customFormat="false" ht="15" hidden="false" customHeight="false" outlineLevel="0" collapsed="false">
      <c r="A15" s="6" t="s">
        <v>69</v>
      </c>
      <c r="B15" s="6" t="n">
        <v>233476</v>
      </c>
      <c r="C15" s="6" t="n">
        <v>3198</v>
      </c>
      <c r="D15" s="45" t="n">
        <v>45559</v>
      </c>
      <c r="E15" s="6" t="s">
        <v>292</v>
      </c>
      <c r="F15" s="6" t="s">
        <v>259</v>
      </c>
      <c r="G15" s="15" t="n">
        <v>425</v>
      </c>
      <c r="H15" s="15" t="n">
        <v>425</v>
      </c>
      <c r="I15" s="15" t="n">
        <v>425</v>
      </c>
      <c r="J15" s="6" t="s">
        <v>64</v>
      </c>
      <c r="K15" s="6" t="s">
        <v>64</v>
      </c>
    </row>
    <row r="16" customFormat="false" ht="15" hidden="false" customHeight="false" outlineLevel="0" collapsed="false">
      <c r="A16" s="6" t="s">
        <v>69</v>
      </c>
      <c r="B16" s="6" t="n">
        <v>233476</v>
      </c>
      <c r="C16" s="6" t="n">
        <v>3239</v>
      </c>
      <c r="D16" s="45" t="n">
        <v>45590</v>
      </c>
      <c r="E16" s="6" t="s">
        <v>292</v>
      </c>
      <c r="F16" s="6" t="s">
        <v>259</v>
      </c>
      <c r="G16" s="15" t="n">
        <v>425</v>
      </c>
      <c r="H16" s="15" t="n">
        <v>425</v>
      </c>
      <c r="I16" s="15" t="n">
        <v>425</v>
      </c>
      <c r="J16" s="6" t="s">
        <v>64</v>
      </c>
      <c r="K16" s="6" t="s">
        <v>64</v>
      </c>
    </row>
    <row r="17" customFormat="false" ht="15" hidden="false" customHeight="false" outlineLevel="0" collapsed="false">
      <c r="A17" s="6" t="s">
        <v>69</v>
      </c>
      <c r="B17" s="6" t="n">
        <v>233476</v>
      </c>
      <c r="C17" s="6" t="n">
        <v>3269</v>
      </c>
      <c r="D17" s="45" t="n">
        <v>45621</v>
      </c>
      <c r="E17" s="6" t="s">
        <v>292</v>
      </c>
      <c r="F17" s="6" t="s">
        <v>259</v>
      </c>
      <c r="G17" s="15" t="n">
        <v>425</v>
      </c>
      <c r="H17" s="15" t="n">
        <v>425</v>
      </c>
      <c r="I17" s="15" t="n">
        <v>425</v>
      </c>
      <c r="J17" s="6" t="s">
        <v>64</v>
      </c>
      <c r="K17" s="6" t="s">
        <v>64</v>
      </c>
    </row>
    <row r="18" customFormat="false" ht="15" hidden="false" customHeight="false" outlineLevel="0" collapsed="false">
      <c r="A18" s="6" t="s">
        <v>78</v>
      </c>
      <c r="B18" s="6" t="n">
        <v>268818</v>
      </c>
      <c r="C18" s="6" t="n">
        <v>3724</v>
      </c>
      <c r="D18" s="45" t="n">
        <v>45956</v>
      </c>
      <c r="E18" s="6" t="s">
        <v>294</v>
      </c>
      <c r="F18" s="6" t="s">
        <v>259</v>
      </c>
      <c r="G18" s="15" t="n">
        <v>425</v>
      </c>
      <c r="H18" s="15" t="n">
        <v>425</v>
      </c>
      <c r="I18" s="15" t="n">
        <v>425</v>
      </c>
      <c r="J18" s="6" t="s">
        <v>64</v>
      </c>
      <c r="K18" s="6" t="s">
        <v>64</v>
      </c>
    </row>
    <row r="19" customFormat="false" ht="15" hidden="false" customHeight="false" outlineLevel="0" collapsed="false">
      <c r="A19" s="6" t="s">
        <v>78</v>
      </c>
      <c r="B19" s="6" t="n">
        <v>268818</v>
      </c>
      <c r="C19" s="6" t="n">
        <v>3779</v>
      </c>
      <c r="D19" s="45" t="n">
        <v>45987</v>
      </c>
      <c r="E19" s="6" t="s">
        <v>294</v>
      </c>
      <c r="F19" s="6" t="s">
        <v>259</v>
      </c>
      <c r="G19" s="15" t="n">
        <v>425</v>
      </c>
      <c r="H19" s="15" t="n">
        <v>425</v>
      </c>
      <c r="I19" s="15" t="n">
        <v>425</v>
      </c>
      <c r="J19" s="6" t="s">
        <v>64</v>
      </c>
      <c r="K19" s="6" t="s">
        <v>64</v>
      </c>
    </row>
    <row r="20" customFormat="false" ht="15" hidden="false" customHeight="false" outlineLevel="0" collapsed="false">
      <c r="A20" s="6" t="s">
        <v>78</v>
      </c>
      <c r="B20" s="6" t="n">
        <v>268818</v>
      </c>
      <c r="C20" s="6" t="n">
        <v>3833</v>
      </c>
      <c r="D20" s="45" t="n">
        <v>46017</v>
      </c>
      <c r="E20" s="6" t="s">
        <v>294</v>
      </c>
      <c r="F20" s="6" t="s">
        <v>259</v>
      </c>
      <c r="G20" s="15" t="n">
        <v>425</v>
      </c>
      <c r="H20" s="15" t="n">
        <v>425</v>
      </c>
      <c r="I20" s="15" t="n">
        <v>425</v>
      </c>
      <c r="J20" s="6" t="s">
        <v>64</v>
      </c>
      <c r="K20" s="6" t="s">
        <v>64</v>
      </c>
    </row>
    <row r="21" customFormat="false" ht="15" hidden="false" customHeight="false" outlineLevel="0" collapsed="false">
      <c r="A21" s="6" t="s">
        <v>78</v>
      </c>
      <c r="B21" s="6" t="n">
        <v>268818</v>
      </c>
      <c r="C21" s="6" t="n">
        <v>3902</v>
      </c>
      <c r="D21" s="45" t="n">
        <v>46055</v>
      </c>
      <c r="E21" s="6" t="s">
        <v>294</v>
      </c>
      <c r="F21" s="6" t="s">
        <v>259</v>
      </c>
      <c r="G21" s="15" t="n">
        <v>425</v>
      </c>
      <c r="H21" s="15" t="n">
        <v>212.5</v>
      </c>
      <c r="I21" s="15" t="n">
        <v>212.5</v>
      </c>
      <c r="J21" s="6" t="s">
        <v>64</v>
      </c>
      <c r="K21" s="46" t="s">
        <v>295</v>
      </c>
    </row>
    <row r="22" customFormat="false" ht="15" hidden="false" customHeight="false" outlineLevel="0" collapsed="false">
      <c r="A22" s="6" t="s">
        <v>78</v>
      </c>
      <c r="B22" s="6" t="n">
        <v>268818</v>
      </c>
      <c r="C22" s="6" t="n">
        <v>4100</v>
      </c>
      <c r="D22" s="45" t="n">
        <v>46161</v>
      </c>
      <c r="E22" s="6" t="s">
        <v>290</v>
      </c>
      <c r="F22" s="6" t="s">
        <v>259</v>
      </c>
      <c r="G22" s="15" t="n">
        <v>425</v>
      </c>
      <c r="H22" s="15" t="n">
        <v>425</v>
      </c>
      <c r="I22" s="15" t="n">
        <v>425</v>
      </c>
      <c r="J22" s="6" t="s">
        <v>64</v>
      </c>
      <c r="K22" s="6" t="s">
        <v>64</v>
      </c>
    </row>
    <row r="23" customFormat="false" ht="15" hidden="false" customHeight="false" outlineLevel="0" collapsed="false">
      <c r="A23" s="6" t="s">
        <v>78</v>
      </c>
      <c r="B23" s="6" t="n">
        <v>268818</v>
      </c>
      <c r="C23" s="6" t="n">
        <v>4167</v>
      </c>
      <c r="D23" s="45" t="n">
        <v>46192</v>
      </c>
      <c r="E23" s="6" t="s">
        <v>290</v>
      </c>
      <c r="F23" s="6" t="s">
        <v>259</v>
      </c>
      <c r="G23" s="15" t="n">
        <v>425</v>
      </c>
      <c r="H23" s="15" t="n">
        <v>425</v>
      </c>
      <c r="I23" s="15" t="n">
        <v>425</v>
      </c>
      <c r="J23" s="6" t="s">
        <v>64</v>
      </c>
      <c r="K23" s="6" t="s">
        <v>64</v>
      </c>
    </row>
    <row r="24" customFormat="false" ht="15" hidden="false" customHeight="false" outlineLevel="0" collapsed="false">
      <c r="A24" s="6" t="s">
        <v>78</v>
      </c>
      <c r="B24" s="6" t="n">
        <v>268818</v>
      </c>
      <c r="C24" s="6" t="n">
        <v>4230</v>
      </c>
      <c r="D24" s="45" t="n">
        <v>46222</v>
      </c>
      <c r="E24" s="6" t="s">
        <v>290</v>
      </c>
      <c r="F24" s="6" t="s">
        <v>259</v>
      </c>
      <c r="G24" s="15" t="n">
        <v>425</v>
      </c>
      <c r="H24" s="15" t="n">
        <v>425</v>
      </c>
      <c r="I24" s="47" t="n">
        <v>0</v>
      </c>
      <c r="J24" s="6" t="s">
        <v>64</v>
      </c>
      <c r="K24" s="6" t="s">
        <v>64</v>
      </c>
    </row>
    <row r="25" customFormat="false" ht="15" hidden="false" customHeight="false" outlineLevel="0" collapsed="false">
      <c r="A25" s="6" t="s">
        <v>83</v>
      </c>
      <c r="B25" s="6" t="n">
        <v>294186</v>
      </c>
      <c r="C25" s="6" t="n">
        <v>4193</v>
      </c>
      <c r="D25" s="45" t="n">
        <v>46205</v>
      </c>
      <c r="E25" s="6" t="s">
        <v>290</v>
      </c>
      <c r="F25" s="6" t="s">
        <v>259</v>
      </c>
      <c r="G25" s="15" t="n">
        <v>425</v>
      </c>
      <c r="H25" s="15" t="n">
        <v>425</v>
      </c>
      <c r="I25" s="15" t="n">
        <v>425</v>
      </c>
      <c r="J25" s="6" t="s">
        <v>64</v>
      </c>
      <c r="K25" s="6" t="s">
        <v>64</v>
      </c>
    </row>
    <row r="26" customFormat="false" ht="15" hidden="false" customHeight="false" outlineLevel="0" collapsed="false">
      <c r="A26" s="6" t="s">
        <v>85</v>
      </c>
      <c r="B26" s="6" t="n">
        <v>270161</v>
      </c>
      <c r="C26" s="6" t="n">
        <v>3663</v>
      </c>
      <c r="D26" s="45" t="n">
        <v>45919</v>
      </c>
      <c r="E26" s="6" t="s">
        <v>290</v>
      </c>
      <c r="F26" s="6" t="s">
        <v>259</v>
      </c>
      <c r="G26" s="15" t="n">
        <v>425</v>
      </c>
      <c r="H26" s="15" t="n">
        <v>425</v>
      </c>
      <c r="I26" s="15" t="n">
        <v>425</v>
      </c>
      <c r="J26" s="6" t="s">
        <v>64</v>
      </c>
      <c r="K26" s="6" t="s">
        <v>64</v>
      </c>
    </row>
    <row r="27" customFormat="false" ht="15" hidden="false" customHeight="false" outlineLevel="0" collapsed="false">
      <c r="A27" s="6" t="s">
        <v>85</v>
      </c>
      <c r="B27" s="6" t="n">
        <v>270161</v>
      </c>
      <c r="C27" s="6" t="n">
        <v>3716</v>
      </c>
      <c r="D27" s="45" t="n">
        <v>45949</v>
      </c>
      <c r="E27" s="6" t="s">
        <v>290</v>
      </c>
      <c r="F27" s="6" t="s">
        <v>259</v>
      </c>
      <c r="G27" s="15" t="n">
        <v>425</v>
      </c>
      <c r="H27" s="15" t="n">
        <v>425</v>
      </c>
      <c r="I27" s="15" t="n">
        <v>425</v>
      </c>
      <c r="J27" s="6" t="s">
        <v>64</v>
      </c>
      <c r="K27" s="6" t="s">
        <v>64</v>
      </c>
    </row>
    <row r="28" customFormat="false" ht="15" hidden="false" customHeight="false" outlineLevel="0" collapsed="false">
      <c r="A28" s="6" t="s">
        <v>85</v>
      </c>
      <c r="B28" s="6" t="n">
        <v>270161</v>
      </c>
      <c r="C28" s="6" t="n">
        <v>3769</v>
      </c>
      <c r="D28" s="45" t="n">
        <v>45980</v>
      </c>
      <c r="E28" s="6" t="s">
        <v>290</v>
      </c>
      <c r="F28" s="6" t="s">
        <v>259</v>
      </c>
      <c r="G28" s="15" t="n">
        <v>425</v>
      </c>
      <c r="H28" s="15" t="n">
        <v>425</v>
      </c>
      <c r="I28" s="15" t="n">
        <v>425</v>
      </c>
      <c r="J28" s="6" t="s">
        <v>64</v>
      </c>
      <c r="K28" s="6" t="s">
        <v>64</v>
      </c>
    </row>
    <row r="29" customFormat="false" ht="15" hidden="false" customHeight="false" outlineLevel="0" collapsed="false">
      <c r="A29" s="6" t="s">
        <v>85</v>
      </c>
      <c r="B29" s="6" t="n">
        <v>270161</v>
      </c>
      <c r="C29" s="6" t="n">
        <v>3825</v>
      </c>
      <c r="D29" s="45" t="n">
        <v>46010</v>
      </c>
      <c r="E29" s="6" t="s">
        <v>290</v>
      </c>
      <c r="F29" s="6" t="s">
        <v>259</v>
      </c>
      <c r="G29" s="15" t="n">
        <v>425</v>
      </c>
      <c r="H29" s="15" t="n">
        <v>425</v>
      </c>
      <c r="I29" s="15" t="n">
        <v>425</v>
      </c>
      <c r="J29" s="6" t="s">
        <v>64</v>
      </c>
      <c r="K29" s="6" t="s">
        <v>64</v>
      </c>
    </row>
    <row r="30" customFormat="false" ht="15" hidden="false" customHeight="false" outlineLevel="0" collapsed="false">
      <c r="A30" s="6" t="s">
        <v>85</v>
      </c>
      <c r="B30" s="6" t="n">
        <v>270161</v>
      </c>
      <c r="C30" s="6" t="n">
        <v>3880</v>
      </c>
      <c r="D30" s="45" t="n">
        <v>46041</v>
      </c>
      <c r="E30" s="6" t="s">
        <v>290</v>
      </c>
      <c r="F30" s="6" t="s">
        <v>259</v>
      </c>
      <c r="G30" s="15" t="n">
        <v>425</v>
      </c>
      <c r="H30" s="15" t="n">
        <v>425</v>
      </c>
      <c r="I30" s="15" t="n">
        <v>425</v>
      </c>
      <c r="J30" s="6" t="s">
        <v>64</v>
      </c>
      <c r="K30" s="6" t="s">
        <v>64</v>
      </c>
    </row>
    <row r="31" customFormat="false" ht="15" hidden="false" customHeight="false" outlineLevel="0" collapsed="false">
      <c r="A31" s="6" t="s">
        <v>85</v>
      </c>
      <c r="B31" s="6" t="n">
        <v>270161</v>
      </c>
      <c r="C31" s="6" t="n">
        <v>3933</v>
      </c>
      <c r="D31" s="45" t="n">
        <v>46072</v>
      </c>
      <c r="E31" s="6" t="s">
        <v>290</v>
      </c>
      <c r="F31" s="6" t="s">
        <v>259</v>
      </c>
      <c r="G31" s="15" t="n">
        <v>425</v>
      </c>
      <c r="H31" s="15" t="n">
        <v>425</v>
      </c>
      <c r="I31" s="15" t="n">
        <v>425</v>
      </c>
      <c r="J31" s="6" t="s">
        <v>64</v>
      </c>
      <c r="K31" s="6" t="s">
        <v>64</v>
      </c>
    </row>
    <row r="32" customFormat="false" ht="15" hidden="false" customHeight="false" outlineLevel="0" collapsed="false">
      <c r="A32" s="6" t="s">
        <v>85</v>
      </c>
      <c r="B32" s="6" t="n">
        <v>270161</v>
      </c>
      <c r="C32" s="6" t="n">
        <v>3980</v>
      </c>
      <c r="D32" s="45" t="n">
        <v>46100</v>
      </c>
      <c r="E32" s="6" t="s">
        <v>290</v>
      </c>
      <c r="F32" s="6" t="s">
        <v>259</v>
      </c>
      <c r="G32" s="15" t="n">
        <v>425</v>
      </c>
      <c r="H32" s="15" t="n">
        <v>425</v>
      </c>
      <c r="I32" s="15" t="n">
        <v>425</v>
      </c>
      <c r="J32" s="6" t="s">
        <v>64</v>
      </c>
      <c r="K32" s="6" t="s">
        <v>64</v>
      </c>
    </row>
    <row r="33" customFormat="false" ht="15" hidden="false" customHeight="false" outlineLevel="0" collapsed="false">
      <c r="A33" s="6" t="s">
        <v>85</v>
      </c>
      <c r="B33" s="6" t="n">
        <v>270161</v>
      </c>
      <c r="C33" s="6" t="n">
        <v>4038</v>
      </c>
      <c r="D33" s="45" t="n">
        <v>46131</v>
      </c>
      <c r="E33" s="6" t="s">
        <v>290</v>
      </c>
      <c r="F33" s="6" t="s">
        <v>259</v>
      </c>
      <c r="G33" s="15" t="n">
        <v>425</v>
      </c>
      <c r="H33" s="15" t="n">
        <v>425</v>
      </c>
      <c r="I33" s="15" t="n">
        <v>425</v>
      </c>
      <c r="J33" s="6" t="s">
        <v>64</v>
      </c>
      <c r="K33" s="6" t="s">
        <v>64</v>
      </c>
    </row>
    <row r="34" customFormat="false" ht="15" hidden="false" customHeight="false" outlineLevel="0" collapsed="false">
      <c r="A34" s="6" t="s">
        <v>85</v>
      </c>
      <c r="B34" s="6" t="n">
        <v>270161</v>
      </c>
      <c r="C34" s="6" t="n">
        <v>4099</v>
      </c>
      <c r="D34" s="45" t="n">
        <v>46161</v>
      </c>
      <c r="E34" s="6" t="s">
        <v>290</v>
      </c>
      <c r="F34" s="6" t="s">
        <v>259</v>
      </c>
      <c r="G34" s="15" t="n">
        <v>425</v>
      </c>
      <c r="H34" s="15" t="n">
        <v>425</v>
      </c>
      <c r="I34" s="15" t="n">
        <v>425</v>
      </c>
      <c r="J34" s="6" t="s">
        <v>64</v>
      </c>
      <c r="K34" s="6" t="s">
        <v>64</v>
      </c>
    </row>
    <row r="35" customFormat="false" ht="15" hidden="false" customHeight="false" outlineLevel="0" collapsed="false">
      <c r="A35" s="6" t="s">
        <v>85</v>
      </c>
      <c r="B35" s="6" t="n">
        <v>270161</v>
      </c>
      <c r="C35" s="6" t="n">
        <v>4166</v>
      </c>
      <c r="D35" s="45" t="n">
        <v>46192</v>
      </c>
      <c r="E35" s="6" t="s">
        <v>290</v>
      </c>
      <c r="F35" s="6" t="s">
        <v>259</v>
      </c>
      <c r="G35" s="15" t="n">
        <v>425</v>
      </c>
      <c r="H35" s="15" t="n">
        <v>425</v>
      </c>
      <c r="I35" s="47" t="n">
        <v>0</v>
      </c>
      <c r="J35" s="6" t="s">
        <v>64</v>
      </c>
      <c r="K35" s="6" t="s">
        <v>64</v>
      </c>
    </row>
    <row r="36" customFormat="false" ht="15" hidden="false" customHeight="false" outlineLevel="0" collapsed="false">
      <c r="A36" s="6" t="s">
        <v>88</v>
      </c>
      <c r="B36" s="6" t="n">
        <v>289853</v>
      </c>
      <c r="C36" s="6" t="n">
        <v>4105</v>
      </c>
      <c r="D36" s="45" t="n">
        <v>46155</v>
      </c>
      <c r="E36" s="6" t="s">
        <v>290</v>
      </c>
      <c r="F36" s="6" t="s">
        <v>259</v>
      </c>
      <c r="G36" s="15" t="n">
        <v>425</v>
      </c>
      <c r="H36" s="15" t="n">
        <v>425</v>
      </c>
      <c r="I36" s="15" t="n">
        <v>425</v>
      </c>
      <c r="J36" s="6" t="s">
        <v>64</v>
      </c>
      <c r="K36" s="6" t="s">
        <v>64</v>
      </c>
    </row>
    <row r="37" customFormat="false" ht="15" hidden="false" customHeight="false" outlineLevel="0" collapsed="false">
      <c r="A37" s="6" t="s">
        <v>88</v>
      </c>
      <c r="B37" s="6" t="n">
        <v>289853</v>
      </c>
      <c r="C37" s="6" t="n">
        <v>4152</v>
      </c>
      <c r="D37" s="45" t="n">
        <v>46186</v>
      </c>
      <c r="E37" s="6" t="s">
        <v>290</v>
      </c>
      <c r="F37" s="6" t="s">
        <v>259</v>
      </c>
      <c r="G37" s="15" t="n">
        <v>425</v>
      </c>
      <c r="H37" s="15" t="n">
        <v>425</v>
      </c>
      <c r="I37" s="15" t="n">
        <v>425</v>
      </c>
      <c r="J37" s="6" t="s">
        <v>64</v>
      </c>
      <c r="K37" s="6" t="s">
        <v>64</v>
      </c>
    </row>
    <row r="38" customFormat="false" ht="15" hidden="false" customHeight="false" outlineLevel="0" collapsed="false">
      <c r="A38" s="6" t="s">
        <v>88</v>
      </c>
      <c r="B38" s="6" t="n">
        <v>289853</v>
      </c>
      <c r="C38" s="6" t="n">
        <v>4215</v>
      </c>
      <c r="D38" s="45" t="n">
        <v>46216</v>
      </c>
      <c r="E38" s="6" t="s">
        <v>290</v>
      </c>
      <c r="F38" s="6" t="s">
        <v>259</v>
      </c>
      <c r="G38" s="15" t="n">
        <v>425</v>
      </c>
      <c r="H38" s="15" t="n">
        <v>425</v>
      </c>
      <c r="I38" s="15" t="n">
        <v>425</v>
      </c>
      <c r="J38" s="6" t="s">
        <v>64</v>
      </c>
      <c r="K38" s="6" t="s">
        <v>64</v>
      </c>
    </row>
    <row r="39" customFormat="false" ht="15" hidden="false" customHeight="false" outlineLevel="0" collapsed="false">
      <c r="A39" s="6" t="s">
        <v>90</v>
      </c>
      <c r="B39" s="6" t="n">
        <v>273442</v>
      </c>
      <c r="C39" s="6" t="n">
        <v>3714</v>
      </c>
      <c r="D39" s="45" t="n">
        <v>45948</v>
      </c>
      <c r="E39" s="6" t="s">
        <v>290</v>
      </c>
      <c r="F39" s="6" t="s">
        <v>259</v>
      </c>
      <c r="G39" s="15" t="n">
        <v>425</v>
      </c>
      <c r="H39" s="15" t="n">
        <v>425</v>
      </c>
      <c r="I39" s="15" t="n">
        <v>425</v>
      </c>
      <c r="J39" s="6" t="s">
        <v>64</v>
      </c>
      <c r="K39" s="6" t="s">
        <v>64</v>
      </c>
    </row>
    <row r="40" customFormat="false" ht="15" hidden="false" customHeight="false" outlineLevel="0" collapsed="false">
      <c r="A40" s="6" t="s">
        <v>90</v>
      </c>
      <c r="B40" s="6" t="n">
        <v>273442</v>
      </c>
      <c r="C40" s="6" t="n">
        <v>3767</v>
      </c>
      <c r="D40" s="45" t="n">
        <v>45979</v>
      </c>
      <c r="E40" s="6" t="s">
        <v>290</v>
      </c>
      <c r="F40" s="6" t="s">
        <v>259</v>
      </c>
      <c r="G40" s="15" t="n">
        <v>425</v>
      </c>
      <c r="H40" s="15" t="n">
        <v>425</v>
      </c>
      <c r="I40" s="15" t="n">
        <v>425</v>
      </c>
      <c r="J40" s="6" t="s">
        <v>64</v>
      </c>
      <c r="K40" s="6" t="s">
        <v>64</v>
      </c>
    </row>
    <row r="41" customFormat="false" ht="15" hidden="false" customHeight="false" outlineLevel="0" collapsed="false">
      <c r="A41" s="6" t="s">
        <v>90</v>
      </c>
      <c r="B41" s="6" t="n">
        <v>273442</v>
      </c>
      <c r="C41" s="6" t="n">
        <v>3820</v>
      </c>
      <c r="D41" s="45" t="n">
        <v>46009</v>
      </c>
      <c r="E41" s="6" t="s">
        <v>290</v>
      </c>
      <c r="F41" s="6" t="s">
        <v>259</v>
      </c>
      <c r="G41" s="15" t="n">
        <v>425</v>
      </c>
      <c r="H41" s="15" t="n">
        <v>425</v>
      </c>
      <c r="I41" s="15" t="n">
        <v>425</v>
      </c>
      <c r="J41" s="6" t="s">
        <v>64</v>
      </c>
      <c r="K41" s="6" t="s">
        <v>64</v>
      </c>
    </row>
    <row r="42" customFormat="false" ht="15" hidden="false" customHeight="false" outlineLevel="0" collapsed="false">
      <c r="A42" s="6" t="s">
        <v>90</v>
      </c>
      <c r="B42" s="6" t="n">
        <v>273442</v>
      </c>
      <c r="C42" s="6" t="n">
        <v>3878</v>
      </c>
      <c r="D42" s="45" t="n">
        <v>46040</v>
      </c>
      <c r="E42" s="6" t="s">
        <v>290</v>
      </c>
      <c r="F42" s="6" t="s">
        <v>259</v>
      </c>
      <c r="G42" s="15" t="n">
        <v>425</v>
      </c>
      <c r="H42" s="15" t="n">
        <v>425</v>
      </c>
      <c r="I42" s="15" t="n">
        <v>425</v>
      </c>
      <c r="J42" s="6" t="s">
        <v>64</v>
      </c>
      <c r="K42" s="6" t="s">
        <v>64</v>
      </c>
    </row>
    <row r="43" customFormat="false" ht="15" hidden="false" customHeight="false" outlineLevel="0" collapsed="false">
      <c r="A43" s="6" t="s">
        <v>92</v>
      </c>
      <c r="B43" s="6" t="n">
        <v>273424</v>
      </c>
      <c r="C43" s="6" t="n">
        <v>3706</v>
      </c>
      <c r="D43" s="45" t="n">
        <v>45944</v>
      </c>
      <c r="E43" s="6" t="s">
        <v>290</v>
      </c>
      <c r="F43" s="6" t="s">
        <v>259</v>
      </c>
      <c r="G43" s="15" t="n">
        <v>425</v>
      </c>
      <c r="H43" s="15" t="n">
        <v>425</v>
      </c>
      <c r="I43" s="15" t="n">
        <v>425</v>
      </c>
      <c r="J43" s="6" t="s">
        <v>64</v>
      </c>
      <c r="K43" s="6" t="s">
        <v>64</v>
      </c>
    </row>
    <row r="44" customFormat="false" ht="15" hidden="false" customHeight="false" outlineLevel="0" collapsed="false">
      <c r="A44" s="6" t="s">
        <v>92</v>
      </c>
      <c r="B44" s="6" t="n">
        <v>273424</v>
      </c>
      <c r="C44" s="6" t="n">
        <v>3758</v>
      </c>
      <c r="D44" s="45" t="n">
        <v>45975</v>
      </c>
      <c r="E44" s="6" t="s">
        <v>290</v>
      </c>
      <c r="F44" s="6" t="s">
        <v>259</v>
      </c>
      <c r="G44" s="15" t="n">
        <v>425</v>
      </c>
      <c r="H44" s="15" t="n">
        <v>425</v>
      </c>
      <c r="I44" s="15" t="n">
        <v>425</v>
      </c>
      <c r="J44" s="6" t="s">
        <v>64</v>
      </c>
      <c r="K44" s="6" t="s">
        <v>64</v>
      </c>
    </row>
    <row r="45" customFormat="false" ht="15" hidden="false" customHeight="false" outlineLevel="0" collapsed="false">
      <c r="A45" s="6" t="s">
        <v>92</v>
      </c>
      <c r="B45" s="6" t="n">
        <v>273424</v>
      </c>
      <c r="C45" s="6" t="n">
        <v>3812</v>
      </c>
      <c r="D45" s="45" t="n">
        <v>46005</v>
      </c>
      <c r="E45" s="6" t="s">
        <v>290</v>
      </c>
      <c r="F45" s="6" t="s">
        <v>259</v>
      </c>
      <c r="G45" s="15" t="n">
        <v>425</v>
      </c>
      <c r="H45" s="15" t="n">
        <v>425</v>
      </c>
      <c r="I45" s="15" t="n">
        <v>425</v>
      </c>
      <c r="J45" s="6" t="s">
        <v>64</v>
      </c>
      <c r="K45" s="6" t="s">
        <v>64</v>
      </c>
    </row>
    <row r="46" customFormat="false" ht="15" hidden="false" customHeight="false" outlineLevel="0" collapsed="false">
      <c r="A46" s="6" t="s">
        <v>92</v>
      </c>
      <c r="B46" s="6" t="n">
        <v>273424</v>
      </c>
      <c r="C46" s="6" t="n">
        <v>3869</v>
      </c>
      <c r="D46" s="45" t="n">
        <v>46036</v>
      </c>
      <c r="E46" s="6" t="s">
        <v>290</v>
      </c>
      <c r="F46" s="6" t="s">
        <v>259</v>
      </c>
      <c r="G46" s="15" t="n">
        <v>425</v>
      </c>
      <c r="H46" s="15" t="n">
        <v>425</v>
      </c>
      <c r="I46" s="15" t="n">
        <v>425</v>
      </c>
      <c r="J46" s="6" t="s">
        <v>64</v>
      </c>
      <c r="K46" s="6" t="s">
        <v>64</v>
      </c>
    </row>
    <row r="47" customFormat="false" ht="15" hidden="false" customHeight="false" outlineLevel="0" collapsed="false">
      <c r="A47" s="6" t="s">
        <v>92</v>
      </c>
      <c r="B47" s="6" t="n">
        <v>273424</v>
      </c>
      <c r="C47" s="6" t="n">
        <v>3921</v>
      </c>
      <c r="D47" s="45" t="n">
        <v>46067</v>
      </c>
      <c r="E47" s="6" t="s">
        <v>290</v>
      </c>
      <c r="F47" s="6" t="s">
        <v>259</v>
      </c>
      <c r="G47" s="15" t="n">
        <v>425</v>
      </c>
      <c r="H47" s="15" t="n">
        <v>425</v>
      </c>
      <c r="I47" s="15" t="n">
        <v>425</v>
      </c>
      <c r="J47" s="6" t="s">
        <v>64</v>
      </c>
      <c r="K47" s="6" t="s">
        <v>64</v>
      </c>
    </row>
    <row r="48" customFormat="false" ht="15" hidden="false" customHeight="false" outlineLevel="0" collapsed="false">
      <c r="A48" s="6" t="s">
        <v>92</v>
      </c>
      <c r="B48" s="6" t="n">
        <v>273424</v>
      </c>
      <c r="C48" s="6" t="n">
        <v>3968</v>
      </c>
      <c r="D48" s="45" t="n">
        <v>46095</v>
      </c>
      <c r="E48" s="6" t="s">
        <v>290</v>
      </c>
      <c r="F48" s="6" t="s">
        <v>259</v>
      </c>
      <c r="G48" s="15" t="n">
        <v>425</v>
      </c>
      <c r="H48" s="15" t="n">
        <v>425</v>
      </c>
      <c r="I48" s="15" t="n">
        <v>425</v>
      </c>
      <c r="J48" s="6" t="s">
        <v>64</v>
      </c>
      <c r="K48" s="6" t="s">
        <v>64</v>
      </c>
    </row>
    <row r="49" customFormat="false" ht="15" hidden="false" customHeight="false" outlineLevel="0" collapsed="false">
      <c r="A49" s="6" t="s">
        <v>92</v>
      </c>
      <c r="B49" s="6" t="n">
        <v>273424</v>
      </c>
      <c r="C49" s="6" t="n">
        <v>4022</v>
      </c>
      <c r="D49" s="45" t="n">
        <v>46126</v>
      </c>
      <c r="E49" s="6" t="s">
        <v>290</v>
      </c>
      <c r="F49" s="6" t="s">
        <v>259</v>
      </c>
      <c r="G49" s="15" t="n">
        <v>425</v>
      </c>
      <c r="H49" s="15" t="n">
        <v>425</v>
      </c>
      <c r="I49" s="15" t="n">
        <v>425</v>
      </c>
      <c r="J49" s="6" t="s">
        <v>64</v>
      </c>
      <c r="K49" s="6" t="s">
        <v>64</v>
      </c>
    </row>
    <row r="50" customFormat="false" ht="15" hidden="false" customHeight="false" outlineLevel="0" collapsed="false">
      <c r="A50" s="6" t="s">
        <v>92</v>
      </c>
      <c r="B50" s="6" t="n">
        <v>273424</v>
      </c>
      <c r="C50" s="6" t="n">
        <v>4085</v>
      </c>
      <c r="D50" s="45" t="n">
        <v>46155</v>
      </c>
      <c r="E50" s="6" t="s">
        <v>296</v>
      </c>
      <c r="F50" s="6" t="s">
        <v>256</v>
      </c>
      <c r="G50" s="15" t="n">
        <v>265</v>
      </c>
      <c r="H50" s="15" t="n">
        <v>105</v>
      </c>
      <c r="I50" s="15" t="n">
        <v>105</v>
      </c>
      <c r="J50" s="6" t="s">
        <v>64</v>
      </c>
      <c r="K50" s="46" t="s">
        <v>297</v>
      </c>
    </row>
    <row r="51" customFormat="false" ht="15" hidden="false" customHeight="false" outlineLevel="0" collapsed="false">
      <c r="A51" s="6" t="s">
        <v>94</v>
      </c>
      <c r="B51" s="6" t="n">
        <v>282788</v>
      </c>
      <c r="C51" s="6" t="n">
        <v>4108</v>
      </c>
      <c r="D51" s="45" t="n">
        <v>46159</v>
      </c>
      <c r="E51" s="6" t="s">
        <v>290</v>
      </c>
      <c r="F51" s="6" t="s">
        <v>259</v>
      </c>
      <c r="G51" s="15" t="n">
        <v>425</v>
      </c>
      <c r="H51" s="15" t="n">
        <v>425</v>
      </c>
      <c r="I51" s="15" t="n">
        <v>425</v>
      </c>
      <c r="J51" s="6" t="s">
        <v>64</v>
      </c>
      <c r="K51" s="6" t="s">
        <v>64</v>
      </c>
    </row>
    <row r="52" customFormat="false" ht="15" hidden="false" customHeight="false" outlineLevel="0" collapsed="false">
      <c r="A52" s="6" t="s">
        <v>94</v>
      </c>
      <c r="B52" s="6" t="n">
        <v>282788</v>
      </c>
      <c r="C52" s="6" t="n">
        <v>4113</v>
      </c>
      <c r="D52" s="45" t="n">
        <v>46163</v>
      </c>
      <c r="E52" s="6" t="s">
        <v>290</v>
      </c>
      <c r="F52" s="6" t="s">
        <v>259</v>
      </c>
      <c r="G52" s="15" t="n">
        <v>425</v>
      </c>
      <c r="H52" s="15" t="n">
        <v>425</v>
      </c>
      <c r="I52" s="15" t="n">
        <v>425</v>
      </c>
      <c r="J52" s="6" t="s">
        <v>64</v>
      </c>
      <c r="K52" s="6" t="s">
        <v>64</v>
      </c>
    </row>
    <row r="53" customFormat="false" ht="15" hidden="false" customHeight="false" outlineLevel="0" collapsed="false">
      <c r="A53" s="6" t="s">
        <v>94</v>
      </c>
      <c r="B53" s="6" t="n">
        <v>282788</v>
      </c>
      <c r="C53" s="6" t="n">
        <v>4174</v>
      </c>
      <c r="D53" s="45" t="n">
        <v>46194</v>
      </c>
      <c r="E53" s="6" t="s">
        <v>290</v>
      </c>
      <c r="F53" s="6" t="s">
        <v>259</v>
      </c>
      <c r="G53" s="15" t="n">
        <v>425</v>
      </c>
      <c r="H53" s="15" t="n">
        <v>425</v>
      </c>
      <c r="I53" s="15" t="n">
        <v>425</v>
      </c>
      <c r="J53" s="6" t="s">
        <v>64</v>
      </c>
      <c r="K53" s="6" t="s">
        <v>64</v>
      </c>
    </row>
    <row r="54" customFormat="false" ht="15" hidden="false" customHeight="false" outlineLevel="0" collapsed="false">
      <c r="A54" s="6" t="s">
        <v>94</v>
      </c>
      <c r="B54" s="6" t="n">
        <v>282788</v>
      </c>
      <c r="C54" s="6" t="n">
        <v>4236</v>
      </c>
      <c r="D54" s="45" t="n">
        <v>46224</v>
      </c>
      <c r="E54" s="6" t="s">
        <v>290</v>
      </c>
      <c r="F54" s="6" t="s">
        <v>259</v>
      </c>
      <c r="G54" s="15" t="n">
        <v>425</v>
      </c>
      <c r="H54" s="15" t="n">
        <v>425</v>
      </c>
      <c r="I54" s="15" t="n">
        <v>425</v>
      </c>
      <c r="J54" s="6" t="s">
        <v>64</v>
      </c>
      <c r="K54" s="6" t="s">
        <v>64</v>
      </c>
    </row>
    <row r="55" customFormat="false" ht="15" hidden="false" customHeight="false" outlineLevel="0" collapsed="false">
      <c r="A55" s="6" t="s">
        <v>96</v>
      </c>
      <c r="B55" s="6" t="n">
        <v>293922</v>
      </c>
      <c r="C55" s="6" t="n">
        <v>4162</v>
      </c>
      <c r="D55" s="45" t="n">
        <v>46190</v>
      </c>
      <c r="E55" s="6" t="s">
        <v>290</v>
      </c>
      <c r="F55" s="6" t="s">
        <v>259</v>
      </c>
      <c r="G55" s="15" t="n">
        <v>425</v>
      </c>
      <c r="H55" s="15" t="n">
        <v>425</v>
      </c>
      <c r="I55" s="15" t="n">
        <v>425</v>
      </c>
      <c r="J55" s="6" t="s">
        <v>64</v>
      </c>
      <c r="K55" s="6" t="s">
        <v>64</v>
      </c>
    </row>
    <row r="56" customFormat="false" ht="15" hidden="false" customHeight="false" outlineLevel="0" collapsed="false">
      <c r="A56" s="6" t="s">
        <v>96</v>
      </c>
      <c r="B56" s="6" t="n">
        <v>293922</v>
      </c>
      <c r="C56" s="6" t="n">
        <v>4226</v>
      </c>
      <c r="D56" s="45" t="n">
        <v>46220</v>
      </c>
      <c r="E56" s="6" t="s">
        <v>290</v>
      </c>
      <c r="F56" s="6" t="s">
        <v>259</v>
      </c>
      <c r="G56" s="15" t="n">
        <v>425</v>
      </c>
      <c r="H56" s="15" t="n">
        <v>425</v>
      </c>
      <c r="I56" s="15" t="n">
        <v>425</v>
      </c>
      <c r="J56" s="6" t="s">
        <v>64</v>
      </c>
      <c r="K56" s="6" t="s">
        <v>64</v>
      </c>
    </row>
    <row r="57" customFormat="false" ht="15" hidden="false" customHeight="false" outlineLevel="0" collapsed="false">
      <c r="A57" s="6" t="s">
        <v>98</v>
      </c>
      <c r="B57" s="6" t="n">
        <v>237477</v>
      </c>
      <c r="C57" s="6" t="n">
        <v>3314</v>
      </c>
      <c r="D57" s="45" t="n">
        <v>45660</v>
      </c>
      <c r="E57" s="6" t="s">
        <v>298</v>
      </c>
      <c r="F57" s="6" t="s">
        <v>259</v>
      </c>
      <c r="G57" s="15" t="n">
        <v>425</v>
      </c>
      <c r="H57" s="15" t="n">
        <v>425</v>
      </c>
      <c r="I57" s="15" t="n">
        <v>425</v>
      </c>
      <c r="J57" s="6" t="s">
        <v>64</v>
      </c>
      <c r="K57" s="6" t="s">
        <v>64</v>
      </c>
    </row>
    <row r="58" customFormat="false" ht="15" hidden="false" customHeight="false" outlineLevel="0" collapsed="false">
      <c r="A58" s="6" t="s">
        <v>98</v>
      </c>
      <c r="B58" s="6" t="n">
        <v>237477</v>
      </c>
      <c r="C58" s="6" t="n">
        <v>3350</v>
      </c>
      <c r="D58" s="45" t="n">
        <v>45691</v>
      </c>
      <c r="E58" s="6" t="s">
        <v>298</v>
      </c>
      <c r="F58" s="6" t="s">
        <v>259</v>
      </c>
      <c r="G58" s="15" t="n">
        <v>425</v>
      </c>
      <c r="H58" s="15" t="n">
        <v>425</v>
      </c>
      <c r="I58" s="15" t="n">
        <v>425</v>
      </c>
      <c r="J58" s="6" t="s">
        <v>64</v>
      </c>
      <c r="K58" s="6" t="s">
        <v>64</v>
      </c>
    </row>
    <row r="59" customFormat="false" ht="15" hidden="false" customHeight="false" outlineLevel="0" collapsed="false">
      <c r="A59" s="6" t="s">
        <v>98</v>
      </c>
      <c r="B59" s="6" t="n">
        <v>237477</v>
      </c>
      <c r="C59" s="6" t="n">
        <v>3384</v>
      </c>
      <c r="D59" s="45" t="n">
        <v>45719</v>
      </c>
      <c r="E59" s="6" t="s">
        <v>290</v>
      </c>
      <c r="F59" s="6" t="s">
        <v>259</v>
      </c>
      <c r="G59" s="15" t="n">
        <v>425</v>
      </c>
      <c r="H59" s="15" t="n">
        <v>425</v>
      </c>
      <c r="I59" s="15" t="n">
        <v>425</v>
      </c>
      <c r="J59" s="6" t="s">
        <v>64</v>
      </c>
      <c r="K59" s="6" t="s">
        <v>64</v>
      </c>
    </row>
    <row r="60" customFormat="false" ht="15" hidden="false" customHeight="false" outlineLevel="0" collapsed="false">
      <c r="A60" s="6" t="s">
        <v>98</v>
      </c>
      <c r="B60" s="6" t="n">
        <v>237477</v>
      </c>
      <c r="C60" s="6" t="n">
        <v>3419</v>
      </c>
      <c r="D60" s="45" t="n">
        <v>45750</v>
      </c>
      <c r="E60" s="6" t="s">
        <v>290</v>
      </c>
      <c r="F60" s="6" t="s">
        <v>259</v>
      </c>
      <c r="G60" s="15" t="n">
        <v>425</v>
      </c>
      <c r="H60" s="15" t="n">
        <v>425</v>
      </c>
      <c r="I60" s="15" t="n">
        <v>425</v>
      </c>
      <c r="J60" s="6" t="s">
        <v>64</v>
      </c>
      <c r="K60" s="6" t="s">
        <v>64</v>
      </c>
    </row>
    <row r="61" customFormat="false" ht="15" hidden="false" customHeight="false" outlineLevel="0" collapsed="false">
      <c r="A61" s="6" t="s">
        <v>98</v>
      </c>
      <c r="B61" s="6" t="n">
        <v>237477</v>
      </c>
      <c r="C61" s="6" t="n">
        <v>3456</v>
      </c>
      <c r="D61" s="45" t="n">
        <v>45780</v>
      </c>
      <c r="E61" s="6" t="s">
        <v>290</v>
      </c>
      <c r="F61" s="6" t="s">
        <v>259</v>
      </c>
      <c r="G61" s="15" t="n">
        <v>425</v>
      </c>
      <c r="H61" s="15" t="n">
        <v>425</v>
      </c>
      <c r="I61" s="15" t="n">
        <v>425</v>
      </c>
      <c r="J61" s="6" t="s">
        <v>64</v>
      </c>
      <c r="K61" s="6" t="s">
        <v>64</v>
      </c>
    </row>
    <row r="62" customFormat="false" ht="15" hidden="false" customHeight="false" outlineLevel="0" collapsed="false">
      <c r="A62" s="6" t="s">
        <v>98</v>
      </c>
      <c r="B62" s="6" t="n">
        <v>237477</v>
      </c>
      <c r="C62" s="6" t="n">
        <v>3488</v>
      </c>
      <c r="D62" s="45" t="n">
        <v>45811</v>
      </c>
      <c r="E62" s="6" t="s">
        <v>290</v>
      </c>
      <c r="F62" s="6" t="s">
        <v>259</v>
      </c>
      <c r="G62" s="15" t="n">
        <v>425</v>
      </c>
      <c r="H62" s="15" t="n">
        <v>425</v>
      </c>
      <c r="I62" s="15" t="n">
        <v>425</v>
      </c>
      <c r="J62" s="6" t="s">
        <v>64</v>
      </c>
      <c r="K62" s="6" t="s">
        <v>64</v>
      </c>
    </row>
    <row r="63" customFormat="false" ht="15" hidden="false" customHeight="false" outlineLevel="0" collapsed="false">
      <c r="A63" s="6" t="s">
        <v>98</v>
      </c>
      <c r="B63" s="6" t="n">
        <v>237477</v>
      </c>
      <c r="C63" s="6" t="n">
        <v>3529</v>
      </c>
      <c r="D63" s="45" t="n">
        <v>45841</v>
      </c>
      <c r="E63" s="6" t="s">
        <v>290</v>
      </c>
      <c r="F63" s="6" t="s">
        <v>259</v>
      </c>
      <c r="G63" s="15" t="n">
        <v>425</v>
      </c>
      <c r="H63" s="15" t="n">
        <v>425</v>
      </c>
      <c r="I63" s="15" t="n">
        <v>425</v>
      </c>
      <c r="J63" s="6" t="s">
        <v>64</v>
      </c>
      <c r="K63" s="6" t="s">
        <v>64</v>
      </c>
    </row>
    <row r="64" customFormat="false" ht="15" hidden="false" customHeight="false" outlineLevel="0" collapsed="false">
      <c r="A64" s="6" t="s">
        <v>98</v>
      </c>
      <c r="B64" s="6" t="n">
        <v>237477</v>
      </c>
      <c r="C64" s="6" t="n">
        <v>3579</v>
      </c>
      <c r="D64" s="45" t="n">
        <v>45872</v>
      </c>
      <c r="E64" s="6" t="s">
        <v>290</v>
      </c>
      <c r="F64" s="6" t="s">
        <v>259</v>
      </c>
      <c r="G64" s="15" t="n">
        <v>425</v>
      </c>
      <c r="H64" s="15" t="n">
        <v>425</v>
      </c>
      <c r="I64" s="15" t="n">
        <v>425</v>
      </c>
      <c r="J64" s="6" t="s">
        <v>64</v>
      </c>
      <c r="K64" s="6" t="s">
        <v>64</v>
      </c>
    </row>
    <row r="65" customFormat="false" ht="15" hidden="false" customHeight="false" outlineLevel="0" collapsed="false">
      <c r="A65" s="6" t="s">
        <v>98</v>
      </c>
      <c r="B65" s="6" t="n">
        <v>237477</v>
      </c>
      <c r="C65" s="6" t="n">
        <v>3636</v>
      </c>
      <c r="D65" s="45" t="n">
        <v>45903</v>
      </c>
      <c r="E65" s="6" t="s">
        <v>290</v>
      </c>
      <c r="F65" s="6" t="s">
        <v>259</v>
      </c>
      <c r="G65" s="15" t="n">
        <v>425</v>
      </c>
      <c r="H65" s="15" t="n">
        <v>425</v>
      </c>
      <c r="I65" s="15" t="n">
        <v>425</v>
      </c>
      <c r="J65" s="6" t="s">
        <v>64</v>
      </c>
      <c r="K65" s="6" t="s">
        <v>64</v>
      </c>
    </row>
    <row r="66" customFormat="false" ht="15" hidden="false" customHeight="false" outlineLevel="0" collapsed="false">
      <c r="A66" s="6" t="s">
        <v>108</v>
      </c>
      <c r="B66" s="6" t="n">
        <v>293645</v>
      </c>
      <c r="C66" s="6" t="n">
        <v>4086</v>
      </c>
      <c r="D66" s="45" t="n">
        <v>46156</v>
      </c>
      <c r="E66" s="6" t="s">
        <v>290</v>
      </c>
      <c r="F66" s="6" t="s">
        <v>259</v>
      </c>
      <c r="G66" s="15" t="n">
        <v>425</v>
      </c>
      <c r="H66" s="15" t="n">
        <v>425</v>
      </c>
      <c r="I66" s="15" t="n">
        <v>425</v>
      </c>
      <c r="J66" s="6" t="s">
        <v>64</v>
      </c>
      <c r="K66" s="6" t="s">
        <v>64</v>
      </c>
    </row>
    <row r="67" customFormat="false" ht="15" hidden="false" customHeight="false" outlineLevel="0" collapsed="false">
      <c r="A67" s="6" t="s">
        <v>108</v>
      </c>
      <c r="B67" s="6" t="n">
        <v>293645</v>
      </c>
      <c r="C67" s="6" t="n">
        <v>4154</v>
      </c>
      <c r="D67" s="45" t="n">
        <v>46187</v>
      </c>
      <c r="E67" s="6" t="s">
        <v>290</v>
      </c>
      <c r="F67" s="6" t="s">
        <v>259</v>
      </c>
      <c r="G67" s="15" t="n">
        <v>425</v>
      </c>
      <c r="H67" s="15" t="n">
        <v>425</v>
      </c>
      <c r="I67" s="15" t="n">
        <v>425</v>
      </c>
      <c r="J67" s="6" t="s">
        <v>64</v>
      </c>
      <c r="K67" s="6" t="s">
        <v>64</v>
      </c>
    </row>
    <row r="68" customFormat="false" ht="15" hidden="false" customHeight="false" outlineLevel="0" collapsed="false">
      <c r="A68" s="6" t="s">
        <v>108</v>
      </c>
      <c r="B68" s="6" t="n">
        <v>293645</v>
      </c>
      <c r="C68" s="6" t="n">
        <v>4218</v>
      </c>
      <c r="D68" s="45" t="n">
        <v>46217</v>
      </c>
      <c r="E68" s="6" t="s">
        <v>290</v>
      </c>
      <c r="F68" s="6" t="s">
        <v>259</v>
      </c>
      <c r="G68" s="15" t="n">
        <v>425</v>
      </c>
      <c r="H68" s="15" t="n">
        <v>425</v>
      </c>
      <c r="I68" s="15" t="n">
        <v>425</v>
      </c>
      <c r="J68" s="6" t="s">
        <v>64</v>
      </c>
      <c r="K68" s="6" t="s">
        <v>64</v>
      </c>
    </row>
    <row r="69" customFormat="false" ht="15" hidden="false" customHeight="false" outlineLevel="0" collapsed="false">
      <c r="A69" s="6" t="s">
        <v>110</v>
      </c>
      <c r="B69" s="6" t="n">
        <v>299127</v>
      </c>
      <c r="C69" s="6" t="n">
        <v>4231</v>
      </c>
      <c r="D69" s="45" t="n">
        <v>46223</v>
      </c>
      <c r="E69" s="6" t="s">
        <v>290</v>
      </c>
      <c r="F69" s="6" t="s">
        <v>259</v>
      </c>
      <c r="G69" s="15" t="n">
        <v>425</v>
      </c>
      <c r="H69" s="15" t="n">
        <v>425</v>
      </c>
      <c r="I69" s="15" t="n">
        <v>425</v>
      </c>
      <c r="J69" s="6" t="s">
        <v>64</v>
      </c>
      <c r="K69" s="6" t="s">
        <v>64</v>
      </c>
    </row>
    <row r="70" customFormat="false" ht="15" hidden="false" customHeight="false" outlineLevel="0" collapsed="false">
      <c r="A70" s="6" t="s">
        <v>112</v>
      </c>
      <c r="B70" s="6" t="n">
        <v>289531</v>
      </c>
      <c r="C70" s="6" t="n">
        <v>4080</v>
      </c>
      <c r="D70" s="45" t="n">
        <v>46153</v>
      </c>
      <c r="E70" s="6" t="s">
        <v>290</v>
      </c>
      <c r="F70" s="6" t="s">
        <v>259</v>
      </c>
      <c r="G70" s="15" t="n">
        <v>400</v>
      </c>
      <c r="H70" s="15" t="n">
        <v>400</v>
      </c>
      <c r="I70" s="15" t="n">
        <v>400</v>
      </c>
      <c r="J70" s="6" t="s">
        <v>64</v>
      </c>
      <c r="K70" s="6" t="s">
        <v>64</v>
      </c>
    </row>
    <row r="71" customFormat="false" ht="15" hidden="false" customHeight="false" outlineLevel="0" collapsed="false">
      <c r="A71" s="6" t="s">
        <v>114</v>
      </c>
      <c r="B71" s="6" t="n">
        <v>267739</v>
      </c>
      <c r="C71" s="6" t="n">
        <v>3678</v>
      </c>
      <c r="D71" s="45" t="n">
        <v>45929</v>
      </c>
      <c r="E71" s="6" t="s">
        <v>290</v>
      </c>
      <c r="F71" s="6" t="s">
        <v>259</v>
      </c>
      <c r="G71" s="15" t="n">
        <v>425</v>
      </c>
      <c r="H71" s="15" t="n">
        <v>425</v>
      </c>
      <c r="I71" s="15" t="n">
        <v>425</v>
      </c>
      <c r="J71" s="6" t="s">
        <v>64</v>
      </c>
      <c r="K71" s="6" t="s">
        <v>64</v>
      </c>
    </row>
    <row r="72" customFormat="false" ht="15" hidden="false" customHeight="false" outlineLevel="0" collapsed="false">
      <c r="A72" s="6" t="s">
        <v>114</v>
      </c>
      <c r="B72" s="6" t="n">
        <v>267739</v>
      </c>
      <c r="C72" s="6" t="n">
        <v>3731</v>
      </c>
      <c r="D72" s="45" t="n">
        <v>45959</v>
      </c>
      <c r="E72" s="6" t="s">
        <v>290</v>
      </c>
      <c r="F72" s="6" t="s">
        <v>259</v>
      </c>
      <c r="G72" s="15" t="n">
        <v>425</v>
      </c>
      <c r="H72" s="15" t="n">
        <v>425</v>
      </c>
      <c r="I72" s="15" t="n">
        <v>425</v>
      </c>
      <c r="J72" s="6" t="s">
        <v>64</v>
      </c>
      <c r="K72" s="6" t="s">
        <v>64</v>
      </c>
    </row>
    <row r="73" customFormat="false" ht="15" hidden="false" customHeight="false" outlineLevel="0" collapsed="false">
      <c r="A73" s="6" t="s">
        <v>114</v>
      </c>
      <c r="B73" s="6" t="n">
        <v>267739</v>
      </c>
      <c r="C73" s="6" t="n">
        <v>3784</v>
      </c>
      <c r="D73" s="45" t="n">
        <v>45990</v>
      </c>
      <c r="E73" s="6" t="s">
        <v>290</v>
      </c>
      <c r="F73" s="6" t="s">
        <v>259</v>
      </c>
      <c r="G73" s="15" t="n">
        <v>425</v>
      </c>
      <c r="H73" s="15" t="n">
        <v>425</v>
      </c>
      <c r="I73" s="15" t="n">
        <v>425</v>
      </c>
      <c r="J73" s="6" t="s">
        <v>64</v>
      </c>
      <c r="K73" s="6" t="s">
        <v>64</v>
      </c>
    </row>
    <row r="74" customFormat="false" ht="15" hidden="false" customHeight="false" outlineLevel="0" collapsed="false">
      <c r="A74" s="6" t="s">
        <v>114</v>
      </c>
      <c r="B74" s="6" t="n">
        <v>267739</v>
      </c>
      <c r="C74" s="6" t="n">
        <v>3836</v>
      </c>
      <c r="D74" s="45" t="n">
        <v>46020</v>
      </c>
      <c r="E74" s="6" t="s">
        <v>290</v>
      </c>
      <c r="F74" s="6" t="s">
        <v>259</v>
      </c>
      <c r="G74" s="15" t="n">
        <v>425</v>
      </c>
      <c r="H74" s="15" t="n">
        <v>425</v>
      </c>
      <c r="I74" s="15" t="n">
        <v>425</v>
      </c>
      <c r="J74" s="6" t="s">
        <v>64</v>
      </c>
      <c r="K74" s="6" t="s">
        <v>64</v>
      </c>
    </row>
    <row r="75" customFormat="false" ht="15" hidden="false" customHeight="false" outlineLevel="0" collapsed="false">
      <c r="A75" s="6" t="s">
        <v>114</v>
      </c>
      <c r="B75" s="6" t="n">
        <v>267739</v>
      </c>
      <c r="C75" s="6" t="n">
        <v>3893</v>
      </c>
      <c r="D75" s="45" t="n">
        <v>46051</v>
      </c>
      <c r="E75" s="6" t="s">
        <v>290</v>
      </c>
      <c r="F75" s="6" t="s">
        <v>259</v>
      </c>
      <c r="G75" s="15" t="n">
        <v>425</v>
      </c>
      <c r="H75" s="15" t="n">
        <v>425</v>
      </c>
      <c r="I75" s="15" t="n">
        <v>425</v>
      </c>
      <c r="J75" s="6" t="s">
        <v>64</v>
      </c>
      <c r="K75" s="6" t="s">
        <v>64</v>
      </c>
    </row>
    <row r="76" customFormat="false" ht="15" hidden="false" customHeight="false" outlineLevel="0" collapsed="false">
      <c r="A76" s="6" t="s">
        <v>114</v>
      </c>
      <c r="B76" s="6" t="n">
        <v>267739</v>
      </c>
      <c r="C76" s="6" t="n">
        <v>3947</v>
      </c>
      <c r="D76" s="45" t="n">
        <v>46082</v>
      </c>
      <c r="E76" s="6" t="s">
        <v>290</v>
      </c>
      <c r="F76" s="6" t="s">
        <v>259</v>
      </c>
      <c r="G76" s="15" t="n">
        <v>425</v>
      </c>
      <c r="H76" s="15" t="n">
        <v>425</v>
      </c>
      <c r="I76" s="15" t="n">
        <v>425</v>
      </c>
      <c r="J76" s="6" t="s">
        <v>64</v>
      </c>
      <c r="K76" s="6" t="s">
        <v>64</v>
      </c>
    </row>
    <row r="77" customFormat="false" ht="15" hidden="false" customHeight="false" outlineLevel="0" collapsed="false">
      <c r="A77" s="6" t="s">
        <v>114</v>
      </c>
      <c r="B77" s="6" t="n">
        <v>267739</v>
      </c>
      <c r="C77" s="6" t="n">
        <v>3997</v>
      </c>
      <c r="D77" s="45" t="n">
        <v>46108</v>
      </c>
      <c r="E77" s="6" t="s">
        <v>290</v>
      </c>
      <c r="F77" s="6" t="s">
        <v>259</v>
      </c>
      <c r="G77" s="15" t="n">
        <v>425</v>
      </c>
      <c r="H77" s="15" t="n">
        <v>425</v>
      </c>
      <c r="I77" s="15" t="n">
        <v>425</v>
      </c>
      <c r="J77" s="6" t="s">
        <v>64</v>
      </c>
      <c r="K77" s="6" t="s">
        <v>64</v>
      </c>
    </row>
    <row r="78" customFormat="false" ht="15" hidden="false" customHeight="false" outlineLevel="0" collapsed="false">
      <c r="A78" s="6" t="s">
        <v>114</v>
      </c>
      <c r="B78" s="6" t="n">
        <v>267739</v>
      </c>
      <c r="C78" s="6" t="n">
        <v>4056</v>
      </c>
      <c r="D78" s="45" t="n">
        <v>46139</v>
      </c>
      <c r="E78" s="6" t="s">
        <v>290</v>
      </c>
      <c r="F78" s="6" t="s">
        <v>259</v>
      </c>
      <c r="G78" s="15" t="n">
        <v>425</v>
      </c>
      <c r="H78" s="15" t="n">
        <v>425</v>
      </c>
      <c r="I78" s="15" t="n">
        <v>425</v>
      </c>
      <c r="J78" s="6" t="s">
        <v>64</v>
      </c>
      <c r="K78" s="6" t="s">
        <v>64</v>
      </c>
    </row>
    <row r="79" customFormat="false" ht="15" hidden="false" customHeight="false" outlineLevel="0" collapsed="false">
      <c r="A79" s="6" t="s">
        <v>114</v>
      </c>
      <c r="B79" s="6" t="n">
        <v>267739</v>
      </c>
      <c r="C79" s="6" t="n">
        <v>4123</v>
      </c>
      <c r="D79" s="45" t="n">
        <v>46169</v>
      </c>
      <c r="E79" s="6" t="s">
        <v>290</v>
      </c>
      <c r="F79" s="6" t="s">
        <v>259</v>
      </c>
      <c r="G79" s="15" t="n">
        <v>425</v>
      </c>
      <c r="H79" s="15" t="n">
        <v>425</v>
      </c>
      <c r="I79" s="15" t="n">
        <v>425</v>
      </c>
      <c r="J79" s="6" t="s">
        <v>64</v>
      </c>
      <c r="K79" s="6" t="s">
        <v>64</v>
      </c>
    </row>
    <row r="80" customFormat="false" ht="15" hidden="false" customHeight="false" outlineLevel="0" collapsed="false">
      <c r="A80" s="6" t="s">
        <v>114</v>
      </c>
      <c r="B80" s="6" t="n">
        <v>267739</v>
      </c>
      <c r="C80" s="6" t="n">
        <v>4216</v>
      </c>
      <c r="D80" s="45" t="n">
        <v>46216</v>
      </c>
      <c r="E80" s="6" t="s">
        <v>291</v>
      </c>
      <c r="F80" s="6" t="s">
        <v>256</v>
      </c>
      <c r="G80" s="15" t="n">
        <v>265</v>
      </c>
      <c r="H80" s="15" t="n">
        <v>265</v>
      </c>
      <c r="I80" s="15" t="n">
        <v>265</v>
      </c>
      <c r="J80" s="6" t="s">
        <v>64</v>
      </c>
      <c r="K80" s="6" t="s">
        <v>64</v>
      </c>
    </row>
    <row r="81" customFormat="false" ht="15" hidden="false" customHeight="false" outlineLevel="0" collapsed="false">
      <c r="A81" s="6" t="s">
        <v>116</v>
      </c>
      <c r="B81" s="6" t="n">
        <v>249296</v>
      </c>
      <c r="C81" s="6" t="n">
        <v>3424</v>
      </c>
      <c r="D81" s="45" t="n">
        <v>45753</v>
      </c>
      <c r="E81" s="6" t="s">
        <v>290</v>
      </c>
      <c r="F81" s="6" t="s">
        <v>259</v>
      </c>
      <c r="G81" s="15" t="n">
        <v>425</v>
      </c>
      <c r="H81" s="15" t="n">
        <v>425</v>
      </c>
      <c r="I81" s="15" t="n">
        <v>425</v>
      </c>
      <c r="J81" s="6" t="s">
        <v>64</v>
      </c>
      <c r="K81" s="6" t="s">
        <v>64</v>
      </c>
    </row>
    <row r="82" customFormat="false" ht="15" hidden="false" customHeight="false" outlineLevel="0" collapsed="false">
      <c r="A82" s="6" t="s">
        <v>116</v>
      </c>
      <c r="B82" s="6" t="n">
        <v>249296</v>
      </c>
      <c r="C82" s="6" t="n">
        <v>3459</v>
      </c>
      <c r="D82" s="45" t="n">
        <v>45783</v>
      </c>
      <c r="E82" s="6" t="s">
        <v>290</v>
      </c>
      <c r="F82" s="6" t="s">
        <v>259</v>
      </c>
      <c r="G82" s="15" t="n">
        <v>425</v>
      </c>
      <c r="H82" s="15" t="n">
        <v>425</v>
      </c>
      <c r="I82" s="15" t="n">
        <v>425</v>
      </c>
      <c r="J82" s="6" t="s">
        <v>64</v>
      </c>
      <c r="K82" s="6" t="s">
        <v>64</v>
      </c>
    </row>
    <row r="83" customFormat="false" ht="15" hidden="false" customHeight="false" outlineLevel="0" collapsed="false">
      <c r="A83" s="6" t="s">
        <v>116</v>
      </c>
      <c r="B83" s="6" t="n">
        <v>249296</v>
      </c>
      <c r="C83" s="6" t="n">
        <v>3496</v>
      </c>
      <c r="D83" s="45" t="n">
        <v>45814</v>
      </c>
      <c r="E83" s="6" t="s">
        <v>290</v>
      </c>
      <c r="F83" s="6" t="s">
        <v>259</v>
      </c>
      <c r="G83" s="15" t="n">
        <v>425</v>
      </c>
      <c r="H83" s="15" t="n">
        <v>425</v>
      </c>
      <c r="I83" s="15" t="n">
        <v>425</v>
      </c>
      <c r="J83" s="6" t="s">
        <v>64</v>
      </c>
      <c r="K83" s="6" t="s">
        <v>64</v>
      </c>
    </row>
    <row r="84" customFormat="false" ht="15" hidden="false" customHeight="false" outlineLevel="0" collapsed="false">
      <c r="A84" s="6" t="s">
        <v>116</v>
      </c>
      <c r="B84" s="6" t="n">
        <v>249296</v>
      </c>
      <c r="C84" s="6" t="n">
        <v>3537</v>
      </c>
      <c r="D84" s="45" t="n">
        <v>45844</v>
      </c>
      <c r="E84" s="6" t="s">
        <v>290</v>
      </c>
      <c r="F84" s="6" t="s">
        <v>259</v>
      </c>
      <c r="G84" s="15" t="n">
        <v>425</v>
      </c>
      <c r="H84" s="15" t="n">
        <v>425</v>
      </c>
      <c r="I84" s="15" t="n">
        <v>425</v>
      </c>
      <c r="J84" s="6" t="s">
        <v>64</v>
      </c>
      <c r="K84" s="6" t="s">
        <v>64</v>
      </c>
    </row>
    <row r="85" customFormat="false" ht="15" hidden="false" customHeight="false" outlineLevel="0" collapsed="false">
      <c r="A85" s="6" t="s">
        <v>118</v>
      </c>
      <c r="B85" s="6" t="n">
        <v>289870</v>
      </c>
      <c r="C85" s="6" t="n">
        <v>4109</v>
      </c>
      <c r="D85" s="45" t="n">
        <v>46153</v>
      </c>
      <c r="E85" s="6" t="s">
        <v>290</v>
      </c>
      <c r="F85" s="6" t="s">
        <v>259</v>
      </c>
      <c r="G85" s="15" t="n">
        <v>425</v>
      </c>
      <c r="H85" s="15" t="n">
        <v>625</v>
      </c>
      <c r="I85" s="15" t="n">
        <v>625</v>
      </c>
      <c r="J85" s="6" t="s">
        <v>64</v>
      </c>
      <c r="K85" s="46" t="s">
        <v>299</v>
      </c>
    </row>
    <row r="86" customFormat="false" ht="15" hidden="false" customHeight="false" outlineLevel="0" collapsed="false">
      <c r="A86" s="6" t="s">
        <v>118</v>
      </c>
      <c r="B86" s="6" t="n">
        <v>289870</v>
      </c>
      <c r="C86" s="6" t="n">
        <v>4147</v>
      </c>
      <c r="D86" s="45" t="n">
        <v>46183</v>
      </c>
      <c r="E86" s="6" t="s">
        <v>290</v>
      </c>
      <c r="F86" s="6" t="s">
        <v>259</v>
      </c>
      <c r="G86" s="15" t="n">
        <v>425</v>
      </c>
      <c r="H86" s="15" t="n">
        <v>425</v>
      </c>
      <c r="I86" s="15" t="n">
        <v>425</v>
      </c>
      <c r="J86" s="6" t="s">
        <v>64</v>
      </c>
      <c r="K86" s="6" t="s">
        <v>64</v>
      </c>
    </row>
    <row r="87" customFormat="false" ht="15" hidden="false" customHeight="false" outlineLevel="0" collapsed="false">
      <c r="A87" s="6" t="s">
        <v>118</v>
      </c>
      <c r="B87" s="6" t="n">
        <v>289870</v>
      </c>
      <c r="C87" s="6" t="n">
        <v>4209</v>
      </c>
      <c r="D87" s="45" t="n">
        <v>46213</v>
      </c>
      <c r="E87" s="6" t="s">
        <v>290</v>
      </c>
      <c r="F87" s="6" t="s">
        <v>259</v>
      </c>
      <c r="G87" s="15" t="n">
        <v>425</v>
      </c>
      <c r="H87" s="15" t="n">
        <v>425</v>
      </c>
      <c r="I87" s="15" t="n">
        <v>425</v>
      </c>
      <c r="J87" s="6" t="s">
        <v>64</v>
      </c>
      <c r="K87" s="6" t="s">
        <v>64</v>
      </c>
    </row>
    <row r="88" customFormat="false" ht="15" hidden="false" customHeight="false" outlineLevel="0" collapsed="false">
      <c r="A88" s="6" t="s">
        <v>120</v>
      </c>
      <c r="B88" s="6" t="n">
        <v>289030</v>
      </c>
      <c r="C88" s="6" t="n">
        <v>4083</v>
      </c>
      <c r="D88" s="45" t="n">
        <v>46155</v>
      </c>
      <c r="E88" s="6" t="s">
        <v>290</v>
      </c>
      <c r="F88" s="6" t="s">
        <v>259</v>
      </c>
      <c r="G88" s="15" t="n">
        <v>425</v>
      </c>
      <c r="H88" s="15" t="n">
        <v>355</v>
      </c>
      <c r="I88" s="15" t="n">
        <v>355</v>
      </c>
      <c r="J88" s="6" t="s">
        <v>64</v>
      </c>
      <c r="K88" s="46" t="s">
        <v>300</v>
      </c>
    </row>
    <row r="89" customFormat="false" ht="15" hidden="false" customHeight="false" outlineLevel="0" collapsed="false">
      <c r="A89" s="6" t="s">
        <v>120</v>
      </c>
      <c r="B89" s="6" t="n">
        <v>289030</v>
      </c>
      <c r="C89" s="6" t="n">
        <v>4150</v>
      </c>
      <c r="D89" s="45" t="n">
        <v>46185</v>
      </c>
      <c r="E89" s="6" t="s">
        <v>290</v>
      </c>
      <c r="F89" s="6" t="s">
        <v>259</v>
      </c>
      <c r="G89" s="15" t="n">
        <v>425</v>
      </c>
      <c r="H89" s="15" t="n">
        <v>425</v>
      </c>
      <c r="I89" s="15" t="n">
        <v>425</v>
      </c>
      <c r="J89" s="6" t="s">
        <v>64</v>
      </c>
      <c r="K89" s="6" t="s">
        <v>64</v>
      </c>
    </row>
    <row r="90" customFormat="false" ht="15" hidden="false" customHeight="false" outlineLevel="0" collapsed="false">
      <c r="A90" s="6" t="s">
        <v>120</v>
      </c>
      <c r="B90" s="6" t="n">
        <v>289030</v>
      </c>
      <c r="C90" s="6" t="n">
        <v>4214</v>
      </c>
      <c r="D90" s="45" t="n">
        <v>46215</v>
      </c>
      <c r="E90" s="6" t="s">
        <v>290</v>
      </c>
      <c r="F90" s="6" t="s">
        <v>259</v>
      </c>
      <c r="G90" s="15" t="n">
        <v>425</v>
      </c>
      <c r="H90" s="15" t="n">
        <v>425</v>
      </c>
      <c r="I90" s="15" t="n">
        <v>425</v>
      </c>
      <c r="J90" s="6" t="s">
        <v>64</v>
      </c>
      <c r="K90" s="6" t="s">
        <v>64</v>
      </c>
    </row>
    <row r="91" customFormat="false" ht="15" hidden="false" customHeight="false" outlineLevel="0" collapsed="false">
      <c r="A91" s="6" t="s">
        <v>122</v>
      </c>
      <c r="B91" s="6" t="n">
        <v>261565</v>
      </c>
      <c r="C91" s="6" t="n">
        <v>3451</v>
      </c>
      <c r="D91" s="45" t="n">
        <v>45778</v>
      </c>
      <c r="E91" s="6" t="s">
        <v>301</v>
      </c>
      <c r="F91" s="6" t="s">
        <v>259</v>
      </c>
      <c r="G91" s="15" t="n">
        <v>425</v>
      </c>
      <c r="H91" s="15" t="n">
        <v>425</v>
      </c>
      <c r="I91" s="15" t="n">
        <v>425</v>
      </c>
      <c r="J91" s="6" t="s">
        <v>64</v>
      </c>
      <c r="K91" s="6" t="s">
        <v>64</v>
      </c>
    </row>
    <row r="92" customFormat="false" ht="15" hidden="false" customHeight="false" outlineLevel="0" collapsed="false">
      <c r="A92" s="6" t="s">
        <v>122</v>
      </c>
      <c r="B92" s="6" t="n">
        <v>261565</v>
      </c>
      <c r="C92" s="6" t="n">
        <v>3483</v>
      </c>
      <c r="D92" s="45" t="n">
        <v>45808</v>
      </c>
      <c r="E92" s="6" t="s">
        <v>301</v>
      </c>
      <c r="F92" s="6" t="s">
        <v>259</v>
      </c>
      <c r="G92" s="15" t="n">
        <v>425</v>
      </c>
      <c r="H92" s="15" t="n">
        <v>425</v>
      </c>
      <c r="I92" s="15" t="n">
        <v>425</v>
      </c>
      <c r="J92" s="6" t="s">
        <v>64</v>
      </c>
      <c r="K92" s="6" t="s">
        <v>64</v>
      </c>
    </row>
    <row r="93" customFormat="false" ht="15" hidden="false" customHeight="false" outlineLevel="0" collapsed="false">
      <c r="A93" s="6" t="s">
        <v>122</v>
      </c>
      <c r="B93" s="6" t="n">
        <v>261565</v>
      </c>
      <c r="C93" s="6" t="n">
        <v>3520</v>
      </c>
      <c r="D93" s="45" t="n">
        <v>45837</v>
      </c>
      <c r="E93" s="6" t="s">
        <v>291</v>
      </c>
      <c r="F93" s="6" t="s">
        <v>256</v>
      </c>
      <c r="G93" s="15" t="n">
        <v>265</v>
      </c>
      <c r="H93" s="15" t="n">
        <v>265</v>
      </c>
      <c r="I93" s="15" t="n">
        <v>265</v>
      </c>
      <c r="J93" s="6" t="s">
        <v>64</v>
      </c>
      <c r="K93" s="6" t="s">
        <v>64</v>
      </c>
    </row>
    <row r="94" customFormat="false" ht="15" hidden="false" customHeight="false" outlineLevel="0" collapsed="false">
      <c r="A94" s="6" t="s">
        <v>122</v>
      </c>
      <c r="B94" s="6" t="n">
        <v>261565</v>
      </c>
      <c r="C94" s="6" t="n">
        <v>3570</v>
      </c>
      <c r="D94" s="45" t="n">
        <v>45867</v>
      </c>
      <c r="E94" s="6" t="s">
        <v>291</v>
      </c>
      <c r="F94" s="6" t="s">
        <v>256</v>
      </c>
      <c r="G94" s="15" t="n">
        <v>265</v>
      </c>
      <c r="H94" s="15" t="n">
        <v>265</v>
      </c>
      <c r="I94" s="15" t="n">
        <v>265</v>
      </c>
      <c r="J94" s="6" t="s">
        <v>64</v>
      </c>
      <c r="K94" s="6" t="s">
        <v>64</v>
      </c>
    </row>
    <row r="95" customFormat="false" ht="15" hidden="false" customHeight="false" outlineLevel="0" collapsed="false">
      <c r="A95" s="6" t="s">
        <v>122</v>
      </c>
      <c r="B95" s="6" t="n">
        <v>261565</v>
      </c>
      <c r="C95" s="6" t="n">
        <v>3627</v>
      </c>
      <c r="D95" s="45" t="n">
        <v>45898</v>
      </c>
      <c r="E95" s="6" t="s">
        <v>291</v>
      </c>
      <c r="F95" s="6" t="s">
        <v>256</v>
      </c>
      <c r="G95" s="15" t="n">
        <v>265</v>
      </c>
      <c r="H95" s="15" t="n">
        <v>265</v>
      </c>
      <c r="I95" s="15" t="n">
        <v>265</v>
      </c>
      <c r="J95" s="6" t="s">
        <v>64</v>
      </c>
      <c r="K95" s="6" t="s">
        <v>64</v>
      </c>
    </row>
    <row r="96" customFormat="false" ht="15" hidden="false" customHeight="false" outlineLevel="0" collapsed="false">
      <c r="A96" s="6" t="s">
        <v>122</v>
      </c>
      <c r="B96" s="6" t="n">
        <v>261565</v>
      </c>
      <c r="C96" s="6" t="n">
        <v>3679</v>
      </c>
      <c r="D96" s="45" t="n">
        <v>45929</v>
      </c>
      <c r="E96" s="6" t="s">
        <v>302</v>
      </c>
      <c r="F96" s="6" t="s">
        <v>266</v>
      </c>
      <c r="G96" s="15" t="n">
        <v>145</v>
      </c>
      <c r="H96" s="15" t="n">
        <v>145</v>
      </c>
      <c r="I96" s="15" t="n">
        <v>145</v>
      </c>
      <c r="J96" s="6" t="s">
        <v>64</v>
      </c>
      <c r="K96" s="6" t="s">
        <v>64</v>
      </c>
    </row>
    <row r="97" customFormat="false" ht="15" hidden="false" customHeight="false" outlineLevel="0" collapsed="false">
      <c r="A97" s="6" t="s">
        <v>122</v>
      </c>
      <c r="B97" s="6" t="n">
        <v>261565</v>
      </c>
      <c r="C97" s="6" t="n">
        <v>3732</v>
      </c>
      <c r="D97" s="45" t="n">
        <v>45959</v>
      </c>
      <c r="E97" s="6" t="s">
        <v>302</v>
      </c>
      <c r="F97" s="6" t="s">
        <v>266</v>
      </c>
      <c r="G97" s="15" t="n">
        <v>145</v>
      </c>
      <c r="H97" s="15" t="n">
        <v>145</v>
      </c>
      <c r="I97" s="15" t="n">
        <v>145</v>
      </c>
      <c r="J97" s="6" t="s">
        <v>64</v>
      </c>
      <c r="K97" s="6" t="s">
        <v>64</v>
      </c>
    </row>
    <row r="98" customFormat="false" ht="15" hidden="false" customHeight="false" outlineLevel="0" collapsed="false">
      <c r="A98" s="6" t="s">
        <v>122</v>
      </c>
      <c r="B98" s="6" t="n">
        <v>261565</v>
      </c>
      <c r="C98" s="6" t="n">
        <v>3786</v>
      </c>
      <c r="D98" s="45" t="n">
        <v>45990</v>
      </c>
      <c r="E98" s="6" t="s">
        <v>302</v>
      </c>
      <c r="F98" s="6" t="s">
        <v>266</v>
      </c>
      <c r="G98" s="15" t="n">
        <v>145</v>
      </c>
      <c r="H98" s="15" t="n">
        <v>145</v>
      </c>
      <c r="I98" s="15" t="n">
        <v>145</v>
      </c>
      <c r="J98" s="6" t="s">
        <v>64</v>
      </c>
      <c r="K98" s="6" t="s">
        <v>64</v>
      </c>
    </row>
    <row r="99" customFormat="false" ht="15" hidden="false" customHeight="false" outlineLevel="0" collapsed="false">
      <c r="A99" s="6" t="s">
        <v>124</v>
      </c>
      <c r="B99" s="6" t="n">
        <v>267682</v>
      </c>
      <c r="C99" s="6" t="n">
        <v>3583</v>
      </c>
      <c r="D99" s="45" t="n">
        <v>45873</v>
      </c>
      <c r="E99" s="6" t="s">
        <v>290</v>
      </c>
      <c r="F99" s="6" t="s">
        <v>259</v>
      </c>
      <c r="G99" s="15" t="n">
        <v>425</v>
      </c>
      <c r="H99" s="15" t="n">
        <v>425</v>
      </c>
      <c r="I99" s="15" t="n">
        <v>425</v>
      </c>
      <c r="J99" s="6" t="s">
        <v>64</v>
      </c>
      <c r="K99" s="6" t="s">
        <v>64</v>
      </c>
    </row>
    <row r="100" customFormat="false" ht="15" hidden="false" customHeight="false" outlineLevel="0" collapsed="false">
      <c r="A100" s="6" t="s">
        <v>124</v>
      </c>
      <c r="B100" s="6" t="n">
        <v>267682</v>
      </c>
      <c r="C100" s="6" t="n">
        <v>3639</v>
      </c>
      <c r="D100" s="45" t="n">
        <v>45904</v>
      </c>
      <c r="E100" s="6" t="s">
        <v>290</v>
      </c>
      <c r="F100" s="6" t="s">
        <v>259</v>
      </c>
      <c r="G100" s="15" t="n">
        <v>425</v>
      </c>
      <c r="H100" s="15" t="n">
        <v>425</v>
      </c>
      <c r="I100" s="15" t="n">
        <v>425</v>
      </c>
      <c r="J100" s="6" t="s">
        <v>64</v>
      </c>
      <c r="K100" s="6" t="s">
        <v>64</v>
      </c>
    </row>
    <row r="101" customFormat="false" ht="15" hidden="false" customHeight="false" outlineLevel="0" collapsed="false">
      <c r="A101" s="6" t="s">
        <v>124</v>
      </c>
      <c r="B101" s="6" t="n">
        <v>267682</v>
      </c>
      <c r="C101" s="6" t="n">
        <v>3691</v>
      </c>
      <c r="D101" s="45" t="n">
        <v>45934</v>
      </c>
      <c r="E101" s="6" t="s">
        <v>290</v>
      </c>
      <c r="F101" s="6" t="s">
        <v>259</v>
      </c>
      <c r="G101" s="15" t="n">
        <v>425</v>
      </c>
      <c r="H101" s="15" t="n">
        <v>425</v>
      </c>
      <c r="I101" s="15" t="n">
        <v>425</v>
      </c>
      <c r="J101" s="6" t="s">
        <v>64</v>
      </c>
      <c r="K101" s="6" t="s">
        <v>64</v>
      </c>
    </row>
    <row r="102" customFormat="false" ht="15" hidden="false" customHeight="false" outlineLevel="0" collapsed="false">
      <c r="A102" s="6" t="s">
        <v>124</v>
      </c>
      <c r="B102" s="6" t="n">
        <v>267682</v>
      </c>
      <c r="C102" s="6" t="n">
        <v>3743</v>
      </c>
      <c r="D102" s="45" t="n">
        <v>45965</v>
      </c>
      <c r="E102" s="6" t="s">
        <v>290</v>
      </c>
      <c r="F102" s="6" t="s">
        <v>259</v>
      </c>
      <c r="G102" s="15" t="n">
        <v>425</v>
      </c>
      <c r="H102" s="15" t="n">
        <v>425</v>
      </c>
      <c r="I102" s="15" t="n">
        <v>425</v>
      </c>
      <c r="J102" s="6" t="s">
        <v>64</v>
      </c>
      <c r="K102" s="6" t="s">
        <v>64</v>
      </c>
    </row>
    <row r="103" customFormat="false" ht="15" hidden="false" customHeight="false" outlineLevel="0" collapsed="false">
      <c r="A103" s="6" t="s">
        <v>124</v>
      </c>
      <c r="B103" s="6" t="n">
        <v>267682</v>
      </c>
      <c r="C103" s="6" t="n">
        <v>3798</v>
      </c>
      <c r="D103" s="45" t="n">
        <v>45995</v>
      </c>
      <c r="E103" s="6" t="s">
        <v>290</v>
      </c>
      <c r="F103" s="6" t="s">
        <v>259</v>
      </c>
      <c r="G103" s="15" t="n">
        <v>425</v>
      </c>
      <c r="H103" s="15" t="n">
        <v>425</v>
      </c>
      <c r="I103" s="15" t="n">
        <v>425</v>
      </c>
      <c r="J103" s="6" t="s">
        <v>64</v>
      </c>
      <c r="K103" s="6" t="s">
        <v>64</v>
      </c>
    </row>
    <row r="104" customFormat="false" ht="15" hidden="false" customHeight="false" outlineLevel="0" collapsed="false">
      <c r="A104" s="6" t="s">
        <v>124</v>
      </c>
      <c r="B104" s="6" t="n">
        <v>267682</v>
      </c>
      <c r="C104" s="6" t="n">
        <v>3848</v>
      </c>
      <c r="D104" s="45" t="n">
        <v>46026</v>
      </c>
      <c r="E104" s="6" t="s">
        <v>290</v>
      </c>
      <c r="F104" s="6" t="s">
        <v>259</v>
      </c>
      <c r="G104" s="15" t="n">
        <v>425</v>
      </c>
      <c r="H104" s="15" t="n">
        <v>425</v>
      </c>
      <c r="I104" s="15" t="n">
        <v>425</v>
      </c>
      <c r="J104" s="6" t="s">
        <v>64</v>
      </c>
      <c r="K104" s="6" t="s">
        <v>64</v>
      </c>
    </row>
    <row r="105" customFormat="false" ht="15" hidden="false" customHeight="false" outlineLevel="0" collapsed="false">
      <c r="A105" s="6" t="s">
        <v>124</v>
      </c>
      <c r="B105" s="6" t="n">
        <v>267682</v>
      </c>
      <c r="C105" s="6" t="n">
        <v>3906</v>
      </c>
      <c r="D105" s="45" t="n">
        <v>46057</v>
      </c>
      <c r="E105" s="6" t="s">
        <v>290</v>
      </c>
      <c r="F105" s="6" t="s">
        <v>259</v>
      </c>
      <c r="G105" s="15" t="n">
        <v>425</v>
      </c>
      <c r="H105" s="15" t="n">
        <v>425</v>
      </c>
      <c r="I105" s="15" t="n">
        <v>425</v>
      </c>
      <c r="J105" s="6" t="s">
        <v>64</v>
      </c>
      <c r="K105" s="6" t="s">
        <v>64</v>
      </c>
    </row>
    <row r="106" customFormat="false" ht="15" hidden="false" customHeight="false" outlineLevel="0" collapsed="false">
      <c r="A106" s="6" t="s">
        <v>124</v>
      </c>
      <c r="B106" s="6" t="n">
        <v>267682</v>
      </c>
      <c r="C106" s="6" t="n">
        <v>3934</v>
      </c>
      <c r="D106" s="45" t="n">
        <v>46072</v>
      </c>
      <c r="E106" s="6" t="s">
        <v>291</v>
      </c>
      <c r="F106" s="6" t="s">
        <v>256</v>
      </c>
      <c r="G106" s="15" t="n">
        <v>265</v>
      </c>
      <c r="H106" s="15" t="n">
        <v>265</v>
      </c>
      <c r="I106" s="15" t="n">
        <v>265</v>
      </c>
      <c r="J106" s="6" t="s">
        <v>64</v>
      </c>
      <c r="K106" s="6" t="s">
        <v>64</v>
      </c>
    </row>
    <row r="107" customFormat="false" ht="15" hidden="false" customHeight="false" outlineLevel="0" collapsed="false">
      <c r="A107" s="6" t="s">
        <v>124</v>
      </c>
      <c r="B107" s="6" t="n">
        <v>267682</v>
      </c>
      <c r="C107" s="6" t="n">
        <v>3982</v>
      </c>
      <c r="D107" s="45" t="n">
        <v>46100</v>
      </c>
      <c r="E107" s="6" t="s">
        <v>291</v>
      </c>
      <c r="F107" s="6" t="s">
        <v>256</v>
      </c>
      <c r="G107" s="15" t="n">
        <v>265</v>
      </c>
      <c r="H107" s="15" t="n">
        <v>265</v>
      </c>
      <c r="I107" s="15" t="n">
        <v>265</v>
      </c>
      <c r="J107" s="6" t="s">
        <v>64</v>
      </c>
      <c r="K107" s="6" t="s">
        <v>64</v>
      </c>
    </row>
    <row r="108" customFormat="false" ht="15" hidden="false" customHeight="false" outlineLevel="0" collapsed="false">
      <c r="A108" s="6" t="s">
        <v>124</v>
      </c>
      <c r="B108" s="6" t="n">
        <v>267682</v>
      </c>
      <c r="C108" s="6" t="n">
        <v>4040</v>
      </c>
      <c r="D108" s="45" t="n">
        <v>46131</v>
      </c>
      <c r="E108" s="6" t="s">
        <v>291</v>
      </c>
      <c r="F108" s="6" t="s">
        <v>256</v>
      </c>
      <c r="G108" s="15" t="n">
        <v>265</v>
      </c>
      <c r="H108" s="15" t="n">
        <v>265</v>
      </c>
      <c r="I108" s="15" t="n">
        <v>265</v>
      </c>
      <c r="J108" s="6" t="s">
        <v>64</v>
      </c>
      <c r="K108" s="6" t="s">
        <v>64</v>
      </c>
    </row>
    <row r="109" customFormat="false" ht="15" hidden="false" customHeight="false" outlineLevel="0" collapsed="false">
      <c r="A109" s="6" t="s">
        <v>124</v>
      </c>
      <c r="B109" s="6" t="n">
        <v>267682</v>
      </c>
      <c r="C109" s="6" t="n">
        <v>4102</v>
      </c>
      <c r="D109" s="45" t="n">
        <v>46161</v>
      </c>
      <c r="E109" s="6" t="s">
        <v>291</v>
      </c>
      <c r="F109" s="6" t="s">
        <v>256</v>
      </c>
      <c r="G109" s="15" t="n">
        <v>265</v>
      </c>
      <c r="H109" s="15" t="n">
        <v>265</v>
      </c>
      <c r="I109" s="15" t="n">
        <v>265</v>
      </c>
      <c r="J109" s="6" t="s">
        <v>64</v>
      </c>
      <c r="K109" s="6" t="s">
        <v>64</v>
      </c>
    </row>
    <row r="110" customFormat="false" ht="15" hidden="false" customHeight="false" outlineLevel="0" collapsed="false">
      <c r="A110" s="6" t="s">
        <v>126</v>
      </c>
      <c r="B110" s="6" t="n">
        <v>275280</v>
      </c>
      <c r="C110" s="6" t="n">
        <v>3697</v>
      </c>
      <c r="D110" s="45" t="n">
        <v>45939</v>
      </c>
      <c r="E110" s="6" t="s">
        <v>290</v>
      </c>
      <c r="F110" s="6" t="s">
        <v>259</v>
      </c>
      <c r="G110" s="15" t="n">
        <v>425</v>
      </c>
      <c r="H110" s="15" t="n">
        <v>425</v>
      </c>
      <c r="I110" s="15" t="n">
        <v>425</v>
      </c>
      <c r="J110" s="6" t="s">
        <v>64</v>
      </c>
      <c r="K110" s="6" t="s">
        <v>64</v>
      </c>
    </row>
    <row r="111" customFormat="false" ht="15" hidden="false" customHeight="false" outlineLevel="0" collapsed="false">
      <c r="A111" s="6" t="s">
        <v>126</v>
      </c>
      <c r="B111" s="6" t="n">
        <v>275280</v>
      </c>
      <c r="C111" s="6" t="n">
        <v>3750</v>
      </c>
      <c r="D111" s="45" t="n">
        <v>45970</v>
      </c>
      <c r="E111" s="6" t="s">
        <v>290</v>
      </c>
      <c r="F111" s="6" t="s">
        <v>259</v>
      </c>
      <c r="G111" s="15" t="n">
        <v>425</v>
      </c>
      <c r="H111" s="15" t="n">
        <v>425</v>
      </c>
      <c r="I111" s="15" t="n">
        <v>425</v>
      </c>
      <c r="J111" s="6" t="s">
        <v>64</v>
      </c>
      <c r="K111" s="6" t="s">
        <v>64</v>
      </c>
    </row>
    <row r="112" customFormat="false" ht="15" hidden="false" customHeight="false" outlineLevel="0" collapsed="false">
      <c r="A112" s="6" t="s">
        <v>126</v>
      </c>
      <c r="B112" s="6" t="n">
        <v>275280</v>
      </c>
      <c r="C112" s="6" t="n">
        <v>3804</v>
      </c>
      <c r="D112" s="45" t="n">
        <v>46000</v>
      </c>
      <c r="E112" s="6" t="s">
        <v>290</v>
      </c>
      <c r="F112" s="6" t="s">
        <v>259</v>
      </c>
      <c r="G112" s="15" t="n">
        <v>425</v>
      </c>
      <c r="H112" s="15" t="n">
        <v>425</v>
      </c>
      <c r="I112" s="15" t="n">
        <v>425</v>
      </c>
      <c r="J112" s="6" t="s">
        <v>64</v>
      </c>
      <c r="K112" s="6" t="s">
        <v>64</v>
      </c>
    </row>
    <row r="113" customFormat="false" ht="15" hidden="false" customHeight="false" outlineLevel="0" collapsed="false">
      <c r="A113" s="6" t="s">
        <v>126</v>
      </c>
      <c r="B113" s="6" t="n">
        <v>275280</v>
      </c>
      <c r="C113" s="6" t="n">
        <v>3859</v>
      </c>
      <c r="D113" s="45" t="n">
        <v>46031</v>
      </c>
      <c r="E113" s="6" t="s">
        <v>290</v>
      </c>
      <c r="F113" s="6" t="s">
        <v>259</v>
      </c>
      <c r="G113" s="15" t="n">
        <v>425</v>
      </c>
      <c r="H113" s="15" t="n">
        <v>425</v>
      </c>
      <c r="I113" s="15" t="n">
        <v>425</v>
      </c>
      <c r="J113" s="6" t="s">
        <v>64</v>
      </c>
      <c r="K113" s="6" t="s">
        <v>64</v>
      </c>
    </row>
    <row r="114" customFormat="false" ht="15" hidden="false" customHeight="false" outlineLevel="0" collapsed="false">
      <c r="A114" s="6" t="s">
        <v>126</v>
      </c>
      <c r="B114" s="6" t="n">
        <v>275280</v>
      </c>
      <c r="C114" s="6" t="n">
        <v>3911</v>
      </c>
      <c r="D114" s="45" t="n">
        <v>46062</v>
      </c>
      <c r="E114" s="6" t="s">
        <v>290</v>
      </c>
      <c r="F114" s="6" t="s">
        <v>259</v>
      </c>
      <c r="G114" s="15" t="n">
        <v>425</v>
      </c>
      <c r="H114" s="15" t="n">
        <v>425</v>
      </c>
      <c r="I114" s="15" t="n">
        <v>425</v>
      </c>
      <c r="J114" s="6" t="s">
        <v>64</v>
      </c>
      <c r="K114" s="6" t="s">
        <v>64</v>
      </c>
    </row>
    <row r="115" customFormat="false" ht="15" hidden="false" customHeight="false" outlineLevel="0" collapsed="false">
      <c r="A115" s="6" t="s">
        <v>126</v>
      </c>
      <c r="B115" s="6" t="n">
        <v>275280</v>
      </c>
      <c r="C115" s="6" t="n">
        <v>3959</v>
      </c>
      <c r="D115" s="45" t="n">
        <v>46090</v>
      </c>
      <c r="E115" s="6" t="s">
        <v>290</v>
      </c>
      <c r="F115" s="6" t="s">
        <v>259</v>
      </c>
      <c r="G115" s="15" t="n">
        <v>425</v>
      </c>
      <c r="H115" s="15" t="n">
        <v>425</v>
      </c>
      <c r="I115" s="15" t="n">
        <v>425</v>
      </c>
      <c r="J115" s="6" t="s">
        <v>64</v>
      </c>
      <c r="K115" s="6" t="s">
        <v>64</v>
      </c>
    </row>
    <row r="116" customFormat="false" ht="15" hidden="false" customHeight="false" outlineLevel="0" collapsed="false">
      <c r="A116" s="6" t="s">
        <v>126</v>
      </c>
      <c r="B116" s="6" t="n">
        <v>275280</v>
      </c>
      <c r="C116" s="6" t="n">
        <v>4016</v>
      </c>
      <c r="D116" s="45" t="n">
        <v>46121</v>
      </c>
      <c r="E116" s="6" t="s">
        <v>290</v>
      </c>
      <c r="F116" s="6" t="s">
        <v>259</v>
      </c>
      <c r="G116" s="15" t="n">
        <v>425</v>
      </c>
      <c r="H116" s="15" t="n">
        <v>425</v>
      </c>
      <c r="I116" s="15" t="n">
        <v>425</v>
      </c>
      <c r="J116" s="6" t="s">
        <v>64</v>
      </c>
      <c r="K116" s="6" t="s">
        <v>64</v>
      </c>
    </row>
    <row r="117" customFormat="false" ht="15" hidden="false" customHeight="false" outlineLevel="0" collapsed="false">
      <c r="A117" s="6" t="s">
        <v>126</v>
      </c>
      <c r="B117" s="6" t="n">
        <v>275280</v>
      </c>
      <c r="C117" s="6" t="n">
        <v>4075</v>
      </c>
      <c r="D117" s="45" t="n">
        <v>46151</v>
      </c>
      <c r="E117" s="6" t="s">
        <v>290</v>
      </c>
      <c r="F117" s="6" t="s">
        <v>259</v>
      </c>
      <c r="G117" s="15" t="n">
        <v>425</v>
      </c>
      <c r="H117" s="15" t="n">
        <v>425</v>
      </c>
      <c r="I117" s="15" t="n">
        <v>425</v>
      </c>
      <c r="J117" s="6" t="s">
        <v>64</v>
      </c>
      <c r="K117" s="6" t="s">
        <v>64</v>
      </c>
    </row>
    <row r="118" customFormat="false" ht="15" hidden="false" customHeight="false" outlineLevel="0" collapsed="false">
      <c r="A118" s="6" t="s">
        <v>126</v>
      </c>
      <c r="B118" s="6" t="n">
        <v>275280</v>
      </c>
      <c r="C118" s="6" t="n">
        <v>4157</v>
      </c>
      <c r="D118" s="45" t="n">
        <v>46188</v>
      </c>
      <c r="E118" s="6" t="s">
        <v>291</v>
      </c>
      <c r="F118" s="6" t="s">
        <v>256</v>
      </c>
      <c r="G118" s="15" t="n">
        <v>265</v>
      </c>
      <c r="H118" s="15" t="n">
        <v>105</v>
      </c>
      <c r="I118" s="15" t="n">
        <v>105</v>
      </c>
      <c r="J118" s="6" t="s">
        <v>64</v>
      </c>
      <c r="K118" s="46" t="s">
        <v>303</v>
      </c>
    </row>
    <row r="119" customFormat="false" ht="15" hidden="false" customHeight="false" outlineLevel="0" collapsed="false">
      <c r="A119" s="6" t="s">
        <v>126</v>
      </c>
      <c r="B119" s="6" t="n">
        <v>275280</v>
      </c>
      <c r="C119" s="6" t="n">
        <v>4222</v>
      </c>
      <c r="D119" s="45" t="n">
        <v>46218</v>
      </c>
      <c r="E119" s="6" t="s">
        <v>291</v>
      </c>
      <c r="F119" s="6" t="s">
        <v>256</v>
      </c>
      <c r="G119" s="15" t="n">
        <v>265</v>
      </c>
      <c r="H119" s="15" t="n">
        <v>265</v>
      </c>
      <c r="I119" s="15" t="n">
        <v>265</v>
      </c>
      <c r="J119" s="6" t="s">
        <v>64</v>
      </c>
      <c r="K119" s="6" t="s">
        <v>64</v>
      </c>
    </row>
    <row r="120" customFormat="false" ht="15" hidden="false" customHeight="false" outlineLevel="0" collapsed="false">
      <c r="A120" s="6" t="s">
        <v>128</v>
      </c>
      <c r="B120" s="6" t="n">
        <v>266034</v>
      </c>
      <c r="C120" s="6" t="n">
        <v>3584</v>
      </c>
      <c r="D120" s="45" t="n">
        <v>45874</v>
      </c>
      <c r="E120" s="6" t="s">
        <v>290</v>
      </c>
      <c r="F120" s="6" t="s">
        <v>259</v>
      </c>
      <c r="G120" s="15" t="n">
        <v>425</v>
      </c>
      <c r="H120" s="15" t="n">
        <v>425</v>
      </c>
      <c r="I120" s="15" t="n">
        <v>425</v>
      </c>
      <c r="J120" s="6" t="s">
        <v>64</v>
      </c>
      <c r="K120" s="6" t="s">
        <v>64</v>
      </c>
    </row>
    <row r="121" customFormat="false" ht="15" hidden="false" customHeight="false" outlineLevel="0" collapsed="false">
      <c r="A121" s="6" t="s">
        <v>128</v>
      </c>
      <c r="B121" s="6" t="n">
        <v>266034</v>
      </c>
      <c r="C121" s="6" t="n">
        <v>3640</v>
      </c>
      <c r="D121" s="45" t="n">
        <v>45905</v>
      </c>
      <c r="E121" s="6" t="s">
        <v>290</v>
      </c>
      <c r="F121" s="6" t="s">
        <v>259</v>
      </c>
      <c r="G121" s="15" t="n">
        <v>425</v>
      </c>
      <c r="H121" s="15" t="n">
        <v>425</v>
      </c>
      <c r="I121" s="15" t="n">
        <v>425</v>
      </c>
      <c r="J121" s="6" t="s">
        <v>64</v>
      </c>
      <c r="K121" s="6" t="s">
        <v>64</v>
      </c>
    </row>
    <row r="122" customFormat="false" ht="15" hidden="false" customHeight="false" outlineLevel="0" collapsed="false">
      <c r="A122" s="6" t="s">
        <v>128</v>
      </c>
      <c r="B122" s="6" t="n">
        <v>266034</v>
      </c>
      <c r="C122" s="6" t="n">
        <v>3692</v>
      </c>
      <c r="D122" s="45" t="n">
        <v>45935</v>
      </c>
      <c r="E122" s="6" t="s">
        <v>290</v>
      </c>
      <c r="F122" s="6" t="s">
        <v>259</v>
      </c>
      <c r="G122" s="15" t="n">
        <v>425</v>
      </c>
      <c r="H122" s="15" t="n">
        <v>425</v>
      </c>
      <c r="I122" s="15" t="n">
        <v>425</v>
      </c>
      <c r="J122" s="6" t="s">
        <v>64</v>
      </c>
      <c r="K122" s="6" t="s">
        <v>64</v>
      </c>
    </row>
    <row r="123" customFormat="false" ht="15" hidden="false" customHeight="false" outlineLevel="0" collapsed="false">
      <c r="A123" s="6" t="s">
        <v>128</v>
      </c>
      <c r="B123" s="6" t="n">
        <v>266034</v>
      </c>
      <c r="C123" s="6" t="n">
        <v>3744</v>
      </c>
      <c r="D123" s="45" t="n">
        <v>45966</v>
      </c>
      <c r="E123" s="6" t="s">
        <v>290</v>
      </c>
      <c r="F123" s="6" t="s">
        <v>259</v>
      </c>
      <c r="G123" s="15" t="n">
        <v>425</v>
      </c>
      <c r="H123" s="15" t="n">
        <v>425</v>
      </c>
      <c r="I123" s="15" t="n">
        <v>425</v>
      </c>
      <c r="J123" s="6" t="s">
        <v>64</v>
      </c>
      <c r="K123" s="6" t="s">
        <v>64</v>
      </c>
    </row>
    <row r="124" customFormat="false" ht="15" hidden="false" customHeight="false" outlineLevel="0" collapsed="false">
      <c r="A124" s="6" t="s">
        <v>128</v>
      </c>
      <c r="B124" s="6" t="n">
        <v>266034</v>
      </c>
      <c r="C124" s="6" t="n">
        <v>3800</v>
      </c>
      <c r="D124" s="45" t="n">
        <v>45996</v>
      </c>
      <c r="E124" s="6" t="s">
        <v>290</v>
      </c>
      <c r="F124" s="6" t="s">
        <v>259</v>
      </c>
      <c r="G124" s="15" t="n">
        <v>425</v>
      </c>
      <c r="H124" s="15" t="n">
        <v>425</v>
      </c>
      <c r="I124" s="15" t="n">
        <v>425</v>
      </c>
      <c r="J124" s="6" t="s">
        <v>64</v>
      </c>
      <c r="K124" s="6" t="s">
        <v>64</v>
      </c>
    </row>
    <row r="125" customFormat="false" ht="15" hidden="false" customHeight="false" outlineLevel="0" collapsed="false">
      <c r="A125" s="6" t="s">
        <v>128</v>
      </c>
      <c r="B125" s="6" t="n">
        <v>266034</v>
      </c>
      <c r="C125" s="6" t="n">
        <v>3849</v>
      </c>
      <c r="D125" s="45" t="n">
        <v>46027</v>
      </c>
      <c r="E125" s="6" t="s">
        <v>290</v>
      </c>
      <c r="F125" s="6" t="s">
        <v>259</v>
      </c>
      <c r="G125" s="15" t="n">
        <v>425</v>
      </c>
      <c r="H125" s="15" t="n">
        <v>425</v>
      </c>
      <c r="I125" s="15" t="n">
        <v>425</v>
      </c>
      <c r="J125" s="6" t="s">
        <v>64</v>
      </c>
      <c r="K125" s="6" t="s">
        <v>64</v>
      </c>
    </row>
    <row r="126" customFormat="false" ht="15" hidden="false" customHeight="false" outlineLevel="0" collapsed="false">
      <c r="A126" s="6" t="s">
        <v>128</v>
      </c>
      <c r="B126" s="6" t="n">
        <v>266034</v>
      </c>
      <c r="C126" s="6" t="n">
        <v>3907</v>
      </c>
      <c r="D126" s="45" t="n">
        <v>46058</v>
      </c>
      <c r="E126" s="6" t="s">
        <v>290</v>
      </c>
      <c r="F126" s="6" t="s">
        <v>259</v>
      </c>
      <c r="G126" s="15" t="n">
        <v>425</v>
      </c>
      <c r="H126" s="15" t="n">
        <v>425</v>
      </c>
      <c r="I126" s="15" t="n">
        <v>425</v>
      </c>
      <c r="J126" s="6" t="s">
        <v>64</v>
      </c>
      <c r="K126" s="6" t="s">
        <v>64</v>
      </c>
    </row>
    <row r="127" customFormat="false" ht="15" hidden="false" customHeight="false" outlineLevel="0" collapsed="false">
      <c r="A127" s="6" t="s">
        <v>128</v>
      </c>
      <c r="B127" s="6" t="n">
        <v>266034</v>
      </c>
      <c r="C127" s="6" t="n">
        <v>3956</v>
      </c>
      <c r="D127" s="45" t="n">
        <v>46086</v>
      </c>
      <c r="E127" s="6" t="s">
        <v>290</v>
      </c>
      <c r="F127" s="6" t="s">
        <v>259</v>
      </c>
      <c r="G127" s="15" t="n">
        <v>425</v>
      </c>
      <c r="H127" s="15" t="n">
        <v>425</v>
      </c>
      <c r="I127" s="15" t="n">
        <v>425</v>
      </c>
      <c r="J127" s="6" t="s">
        <v>64</v>
      </c>
      <c r="K127" s="6" t="s">
        <v>64</v>
      </c>
    </row>
    <row r="128" customFormat="false" ht="15" hidden="false" customHeight="false" outlineLevel="0" collapsed="false">
      <c r="A128" s="6" t="s">
        <v>128</v>
      </c>
      <c r="B128" s="6" t="n">
        <v>266034</v>
      </c>
      <c r="C128" s="6" t="n">
        <v>4010</v>
      </c>
      <c r="D128" s="45" t="n">
        <v>46117</v>
      </c>
      <c r="E128" s="6" t="s">
        <v>290</v>
      </c>
      <c r="F128" s="6" t="s">
        <v>259</v>
      </c>
      <c r="G128" s="15" t="n">
        <v>425</v>
      </c>
      <c r="H128" s="15" t="n">
        <v>425</v>
      </c>
      <c r="I128" s="15" t="n">
        <v>425</v>
      </c>
      <c r="J128" s="6" t="s">
        <v>64</v>
      </c>
      <c r="K128" s="6" t="s">
        <v>64</v>
      </c>
    </row>
    <row r="129" customFormat="false" ht="15" hidden="false" customHeight="false" outlineLevel="0" collapsed="false">
      <c r="A129" s="6" t="s">
        <v>128</v>
      </c>
      <c r="B129" s="6" t="n">
        <v>266034</v>
      </c>
      <c r="C129" s="6" t="n">
        <v>4067</v>
      </c>
      <c r="D129" s="45" t="n">
        <v>46147</v>
      </c>
      <c r="E129" s="6" t="s">
        <v>290</v>
      </c>
      <c r="F129" s="6" t="s">
        <v>259</v>
      </c>
      <c r="G129" s="15" t="n">
        <v>425</v>
      </c>
      <c r="H129" s="15" t="n">
        <v>425</v>
      </c>
      <c r="I129" s="15" t="n">
        <v>425</v>
      </c>
      <c r="J129" s="6" t="s">
        <v>64</v>
      </c>
      <c r="K129" s="6" t="s">
        <v>64</v>
      </c>
    </row>
    <row r="130" customFormat="false" ht="15" hidden="false" customHeight="false" outlineLevel="0" collapsed="false">
      <c r="A130" s="6" t="s">
        <v>128</v>
      </c>
      <c r="B130" s="6" t="n">
        <v>266034</v>
      </c>
      <c r="C130" s="6" t="n">
        <v>4135</v>
      </c>
      <c r="D130" s="45" t="n">
        <v>46178</v>
      </c>
      <c r="E130" s="6" t="s">
        <v>290</v>
      </c>
      <c r="F130" s="6" t="s">
        <v>259</v>
      </c>
      <c r="G130" s="15" t="n">
        <v>425</v>
      </c>
      <c r="H130" s="15" t="n">
        <v>425</v>
      </c>
      <c r="I130" s="15" t="n">
        <v>425</v>
      </c>
      <c r="J130" s="6" t="s">
        <v>64</v>
      </c>
      <c r="K130" s="6" t="s">
        <v>64</v>
      </c>
    </row>
    <row r="131" customFormat="false" ht="15" hidden="false" customHeight="false" outlineLevel="0" collapsed="false">
      <c r="A131" s="6" t="s">
        <v>128</v>
      </c>
      <c r="B131" s="6" t="n">
        <v>266034</v>
      </c>
      <c r="C131" s="6" t="n">
        <v>4197</v>
      </c>
      <c r="D131" s="45" t="n">
        <v>46208</v>
      </c>
      <c r="E131" s="6" t="s">
        <v>290</v>
      </c>
      <c r="F131" s="6" t="s">
        <v>259</v>
      </c>
      <c r="G131" s="15" t="n">
        <v>425</v>
      </c>
      <c r="H131" s="15" t="n">
        <v>425</v>
      </c>
      <c r="I131" s="15" t="n">
        <v>425</v>
      </c>
      <c r="J131" s="6" t="s">
        <v>64</v>
      </c>
      <c r="K131" s="6" t="s">
        <v>64</v>
      </c>
    </row>
    <row r="132" customFormat="false" ht="15" hidden="false" customHeight="false" outlineLevel="0" collapsed="false">
      <c r="A132" s="6" t="s">
        <v>130</v>
      </c>
      <c r="B132" s="6" t="n">
        <v>280895</v>
      </c>
      <c r="C132" s="6" t="n">
        <v>3863</v>
      </c>
      <c r="D132" s="45" t="n">
        <v>46031</v>
      </c>
      <c r="E132" s="6" t="s">
        <v>290</v>
      </c>
      <c r="F132" s="6" t="s">
        <v>259</v>
      </c>
      <c r="G132" s="15" t="n">
        <v>425</v>
      </c>
      <c r="H132" s="15" t="n">
        <v>425</v>
      </c>
      <c r="I132" s="15" t="n">
        <v>425</v>
      </c>
      <c r="J132" s="6" t="s">
        <v>64</v>
      </c>
      <c r="K132" s="6" t="s">
        <v>64</v>
      </c>
    </row>
    <row r="133" customFormat="false" ht="15" hidden="false" customHeight="false" outlineLevel="0" collapsed="false">
      <c r="A133" s="6" t="s">
        <v>130</v>
      </c>
      <c r="B133" s="6" t="n">
        <v>280895</v>
      </c>
      <c r="C133" s="6" t="n">
        <v>3914</v>
      </c>
      <c r="D133" s="45" t="n">
        <v>46062</v>
      </c>
      <c r="E133" s="6" t="s">
        <v>290</v>
      </c>
      <c r="F133" s="6" t="s">
        <v>259</v>
      </c>
      <c r="G133" s="15" t="n">
        <v>425</v>
      </c>
      <c r="H133" s="15" t="n">
        <v>425</v>
      </c>
      <c r="I133" s="15" t="n">
        <v>425</v>
      </c>
      <c r="J133" s="6" t="s">
        <v>64</v>
      </c>
      <c r="K133" s="6" t="s">
        <v>64</v>
      </c>
    </row>
    <row r="134" customFormat="false" ht="15" hidden="false" customHeight="false" outlineLevel="0" collapsed="false">
      <c r="A134" s="6" t="s">
        <v>130</v>
      </c>
      <c r="B134" s="6" t="n">
        <v>280895</v>
      </c>
      <c r="C134" s="6" t="n">
        <v>3961</v>
      </c>
      <c r="D134" s="45" t="n">
        <v>46090</v>
      </c>
      <c r="E134" s="6" t="s">
        <v>290</v>
      </c>
      <c r="F134" s="6" t="s">
        <v>259</v>
      </c>
      <c r="G134" s="15" t="n">
        <v>425</v>
      </c>
      <c r="H134" s="15" t="n">
        <v>425</v>
      </c>
      <c r="I134" s="15" t="n">
        <v>425</v>
      </c>
      <c r="J134" s="6" t="s">
        <v>64</v>
      </c>
      <c r="K134" s="6" t="s">
        <v>64</v>
      </c>
    </row>
    <row r="135" customFormat="false" ht="15" hidden="false" customHeight="false" outlineLevel="0" collapsed="false">
      <c r="A135" s="6" t="s">
        <v>130</v>
      </c>
      <c r="B135" s="6" t="n">
        <v>280895</v>
      </c>
      <c r="C135" s="6" t="n">
        <v>4149</v>
      </c>
      <c r="D135" s="45" t="n">
        <v>46184</v>
      </c>
      <c r="E135" s="6" t="s">
        <v>291</v>
      </c>
      <c r="F135" s="6" t="s">
        <v>256</v>
      </c>
      <c r="G135" s="15" t="n">
        <v>265</v>
      </c>
      <c r="H135" s="15" t="n">
        <v>15</v>
      </c>
      <c r="I135" s="15" t="n">
        <v>15</v>
      </c>
      <c r="J135" s="6" t="s">
        <v>64</v>
      </c>
      <c r="K135" s="46" t="s">
        <v>304</v>
      </c>
    </row>
    <row r="136" customFormat="false" ht="15" hidden="false" customHeight="false" outlineLevel="0" collapsed="false">
      <c r="A136" s="6" t="s">
        <v>132</v>
      </c>
      <c r="B136" s="6" t="n">
        <v>113068</v>
      </c>
      <c r="C136" s="6" t="n">
        <v>4185</v>
      </c>
      <c r="D136" s="45" t="n">
        <v>46202</v>
      </c>
      <c r="E136" s="6" t="s">
        <v>290</v>
      </c>
      <c r="F136" s="6" t="s">
        <v>259</v>
      </c>
      <c r="G136" s="15" t="n">
        <v>425</v>
      </c>
      <c r="H136" s="15" t="n">
        <v>250</v>
      </c>
      <c r="I136" s="15" t="n">
        <v>250</v>
      </c>
      <c r="J136" s="6" t="s">
        <v>64</v>
      </c>
      <c r="K136" s="46" t="s">
        <v>305</v>
      </c>
    </row>
    <row r="137" customFormat="false" ht="15" hidden="false" customHeight="false" outlineLevel="0" collapsed="false">
      <c r="A137" s="6" t="s">
        <v>134</v>
      </c>
      <c r="B137" s="6" t="n">
        <v>250881</v>
      </c>
      <c r="C137" s="6" t="n">
        <v>3372</v>
      </c>
      <c r="D137" s="45" t="n">
        <v>45707</v>
      </c>
      <c r="E137" s="6" t="s">
        <v>298</v>
      </c>
      <c r="F137" s="6" t="s">
        <v>259</v>
      </c>
      <c r="G137" s="15" t="n">
        <v>425</v>
      </c>
      <c r="H137" s="15" t="n">
        <v>425</v>
      </c>
      <c r="I137" s="15" t="n">
        <v>425</v>
      </c>
      <c r="J137" s="6" t="s">
        <v>64</v>
      </c>
      <c r="K137" s="6" t="s">
        <v>64</v>
      </c>
    </row>
    <row r="138" customFormat="false" ht="15" hidden="false" customHeight="false" outlineLevel="0" collapsed="false">
      <c r="A138" s="6" t="s">
        <v>134</v>
      </c>
      <c r="B138" s="6" t="n">
        <v>250881</v>
      </c>
      <c r="C138" s="6" t="n">
        <v>3400</v>
      </c>
      <c r="D138" s="45" t="n">
        <v>45735</v>
      </c>
      <c r="E138" s="6" t="s">
        <v>290</v>
      </c>
      <c r="F138" s="6" t="s">
        <v>259</v>
      </c>
      <c r="G138" s="15" t="n">
        <v>425</v>
      </c>
      <c r="H138" s="15" t="n">
        <v>425</v>
      </c>
      <c r="I138" s="15" t="n">
        <v>425</v>
      </c>
      <c r="J138" s="6" t="s">
        <v>64</v>
      </c>
      <c r="K138" s="6" t="s">
        <v>64</v>
      </c>
    </row>
    <row r="139" customFormat="false" ht="15" hidden="false" customHeight="false" outlineLevel="0" collapsed="false">
      <c r="A139" s="6" t="s">
        <v>134</v>
      </c>
      <c r="B139" s="6" t="n">
        <v>250881</v>
      </c>
      <c r="C139" s="6" t="n">
        <v>3436</v>
      </c>
      <c r="D139" s="45" t="n">
        <v>45766</v>
      </c>
      <c r="E139" s="6" t="s">
        <v>290</v>
      </c>
      <c r="F139" s="6" t="s">
        <v>259</v>
      </c>
      <c r="G139" s="15" t="n">
        <v>425</v>
      </c>
      <c r="H139" s="15" t="n">
        <v>425</v>
      </c>
      <c r="I139" s="15" t="n">
        <v>425</v>
      </c>
      <c r="J139" s="6" t="s">
        <v>64</v>
      </c>
      <c r="K139" s="6" t="s">
        <v>64</v>
      </c>
    </row>
    <row r="140" customFormat="false" ht="15" hidden="false" customHeight="false" outlineLevel="0" collapsed="false">
      <c r="A140" s="6" t="s">
        <v>134</v>
      </c>
      <c r="B140" s="6" t="n">
        <v>250881</v>
      </c>
      <c r="C140" s="6" t="n">
        <v>3473</v>
      </c>
      <c r="D140" s="45" t="n">
        <v>45796</v>
      </c>
      <c r="E140" s="6" t="s">
        <v>290</v>
      </c>
      <c r="F140" s="6" t="s">
        <v>259</v>
      </c>
      <c r="G140" s="15" t="n">
        <v>425</v>
      </c>
      <c r="H140" s="15" t="n">
        <v>425</v>
      </c>
      <c r="I140" s="15" t="n">
        <v>425</v>
      </c>
      <c r="J140" s="6" t="s">
        <v>64</v>
      </c>
      <c r="K140" s="6" t="s">
        <v>64</v>
      </c>
    </row>
    <row r="141" customFormat="false" ht="15" hidden="false" customHeight="false" outlineLevel="0" collapsed="false">
      <c r="A141" s="6" t="s">
        <v>134</v>
      </c>
      <c r="B141" s="6" t="n">
        <v>250881</v>
      </c>
      <c r="C141" s="6" t="n">
        <v>3511</v>
      </c>
      <c r="D141" s="45" t="n">
        <v>45827</v>
      </c>
      <c r="E141" s="6" t="s">
        <v>290</v>
      </c>
      <c r="F141" s="6" t="s">
        <v>259</v>
      </c>
      <c r="G141" s="15" t="n">
        <v>425</v>
      </c>
      <c r="H141" s="15" t="n">
        <v>425</v>
      </c>
      <c r="I141" s="15" t="n">
        <v>425</v>
      </c>
      <c r="J141" s="6" t="s">
        <v>64</v>
      </c>
      <c r="K141" s="6" t="s">
        <v>64</v>
      </c>
    </row>
    <row r="142" customFormat="false" ht="15" hidden="false" customHeight="false" outlineLevel="0" collapsed="false">
      <c r="A142" s="6" t="s">
        <v>134</v>
      </c>
      <c r="B142" s="6" t="n">
        <v>250881</v>
      </c>
      <c r="C142" s="6" t="n">
        <v>3555</v>
      </c>
      <c r="D142" s="45" t="n">
        <v>45857</v>
      </c>
      <c r="E142" s="6" t="s">
        <v>290</v>
      </c>
      <c r="F142" s="6" t="s">
        <v>259</v>
      </c>
      <c r="G142" s="15" t="n">
        <v>425</v>
      </c>
      <c r="H142" s="15" t="n">
        <v>425</v>
      </c>
      <c r="I142" s="15" t="n">
        <v>425</v>
      </c>
      <c r="J142" s="6" t="s">
        <v>64</v>
      </c>
      <c r="K142" s="6" t="s">
        <v>64</v>
      </c>
    </row>
    <row r="143" customFormat="false" ht="15" hidden="false" customHeight="false" outlineLevel="0" collapsed="false">
      <c r="A143" s="6" t="s">
        <v>134</v>
      </c>
      <c r="B143" s="6" t="n">
        <v>250881</v>
      </c>
      <c r="C143" s="6" t="n">
        <v>3620</v>
      </c>
      <c r="D143" s="45" t="n">
        <v>45895</v>
      </c>
      <c r="E143" s="6" t="s">
        <v>291</v>
      </c>
      <c r="F143" s="6" t="s">
        <v>256</v>
      </c>
      <c r="G143" s="15" t="n">
        <v>265</v>
      </c>
      <c r="H143" s="15" t="n">
        <v>265</v>
      </c>
      <c r="I143" s="15" t="n">
        <v>265</v>
      </c>
      <c r="J143" s="6" t="s">
        <v>64</v>
      </c>
      <c r="K143" s="6" t="s">
        <v>64</v>
      </c>
    </row>
    <row r="144" customFormat="false" ht="15" hidden="false" customHeight="false" outlineLevel="0" collapsed="false">
      <c r="A144" s="6" t="s">
        <v>134</v>
      </c>
      <c r="B144" s="6" t="n">
        <v>250881</v>
      </c>
      <c r="C144" s="6" t="n">
        <v>3673</v>
      </c>
      <c r="D144" s="45" t="n">
        <v>45926</v>
      </c>
      <c r="E144" s="6" t="s">
        <v>291</v>
      </c>
      <c r="F144" s="6" t="s">
        <v>256</v>
      </c>
      <c r="G144" s="15" t="n">
        <v>265</v>
      </c>
      <c r="H144" s="15" t="n">
        <v>265</v>
      </c>
      <c r="I144" s="15" t="n">
        <v>265</v>
      </c>
      <c r="J144" s="6" t="s">
        <v>64</v>
      </c>
      <c r="K144" s="6" t="s">
        <v>64</v>
      </c>
    </row>
    <row r="145" customFormat="false" ht="15" hidden="false" customHeight="false" outlineLevel="0" collapsed="false">
      <c r="A145" s="6" t="s">
        <v>134</v>
      </c>
      <c r="B145" s="6" t="n">
        <v>250881</v>
      </c>
      <c r="C145" s="6" t="n">
        <v>3723</v>
      </c>
      <c r="D145" s="45" t="n">
        <v>45956</v>
      </c>
      <c r="E145" s="6" t="s">
        <v>291</v>
      </c>
      <c r="F145" s="6" t="s">
        <v>256</v>
      </c>
      <c r="G145" s="15" t="n">
        <v>265</v>
      </c>
      <c r="H145" s="15" t="n">
        <v>265</v>
      </c>
      <c r="I145" s="15" t="n">
        <v>265</v>
      </c>
      <c r="J145" s="6" t="s">
        <v>64</v>
      </c>
      <c r="K145" s="6" t="s">
        <v>64</v>
      </c>
    </row>
    <row r="146" customFormat="false" ht="15" hidden="false" customHeight="false" outlineLevel="0" collapsed="false">
      <c r="A146" s="6" t="s">
        <v>136</v>
      </c>
      <c r="B146" s="6" t="n">
        <v>230660</v>
      </c>
      <c r="C146" s="6" t="n">
        <v>3085</v>
      </c>
      <c r="D146" s="45" t="n">
        <v>45477</v>
      </c>
      <c r="E146" s="6" t="s">
        <v>306</v>
      </c>
      <c r="F146" s="6" t="s">
        <v>259</v>
      </c>
      <c r="G146" s="15" t="n">
        <v>425</v>
      </c>
      <c r="H146" s="15" t="n">
        <v>425</v>
      </c>
      <c r="I146" s="15" t="n">
        <v>425</v>
      </c>
      <c r="J146" s="6" t="s">
        <v>64</v>
      </c>
      <c r="K146" s="6" t="s">
        <v>64</v>
      </c>
    </row>
    <row r="147" customFormat="false" ht="15" hidden="false" customHeight="false" outlineLevel="0" collapsed="false">
      <c r="A147" s="6" t="s">
        <v>136</v>
      </c>
      <c r="B147" s="6" t="n">
        <v>230660</v>
      </c>
      <c r="C147" s="6" t="n">
        <v>3141</v>
      </c>
      <c r="D147" s="45" t="n">
        <v>45521</v>
      </c>
      <c r="E147" s="6" t="s">
        <v>306</v>
      </c>
      <c r="F147" s="6" t="s">
        <v>259</v>
      </c>
      <c r="G147" s="15" t="n">
        <v>425</v>
      </c>
      <c r="H147" s="15" t="n">
        <v>425</v>
      </c>
      <c r="I147" s="15" t="n">
        <v>425</v>
      </c>
      <c r="J147" s="6" t="s">
        <v>64</v>
      </c>
      <c r="K147" s="6" t="s">
        <v>64</v>
      </c>
    </row>
    <row r="148" customFormat="false" ht="15" hidden="false" customHeight="false" outlineLevel="0" collapsed="false">
      <c r="A148" s="6" t="s">
        <v>136</v>
      </c>
      <c r="B148" s="6" t="n">
        <v>230660</v>
      </c>
      <c r="C148" s="6" t="n">
        <v>3188</v>
      </c>
      <c r="D148" s="45" t="n">
        <v>45552</v>
      </c>
      <c r="E148" s="6" t="s">
        <v>306</v>
      </c>
      <c r="F148" s="6" t="s">
        <v>259</v>
      </c>
      <c r="G148" s="15" t="n">
        <v>425</v>
      </c>
      <c r="H148" s="15" t="n">
        <v>425</v>
      </c>
      <c r="I148" s="15" t="n">
        <v>425</v>
      </c>
      <c r="J148" s="6" t="s">
        <v>64</v>
      </c>
      <c r="K148" s="6" t="s">
        <v>64</v>
      </c>
    </row>
    <row r="149" customFormat="false" ht="15" hidden="false" customHeight="false" outlineLevel="0" collapsed="false">
      <c r="A149" s="6" t="s">
        <v>136</v>
      </c>
      <c r="B149" s="6" t="n">
        <v>230660</v>
      </c>
      <c r="C149" s="6" t="n">
        <v>3232</v>
      </c>
      <c r="D149" s="45" t="n">
        <v>45583</v>
      </c>
      <c r="E149" s="6" t="s">
        <v>306</v>
      </c>
      <c r="F149" s="6" t="s">
        <v>259</v>
      </c>
      <c r="G149" s="15" t="n">
        <v>425</v>
      </c>
      <c r="H149" s="15" t="n">
        <v>425</v>
      </c>
      <c r="I149" s="15" t="n">
        <v>425</v>
      </c>
      <c r="J149" s="6" t="s">
        <v>64</v>
      </c>
      <c r="K149" s="6" t="s">
        <v>64</v>
      </c>
    </row>
    <row r="150" customFormat="false" ht="15" hidden="false" customHeight="false" outlineLevel="0" collapsed="false">
      <c r="A150" s="6" t="s">
        <v>138</v>
      </c>
      <c r="B150" s="6" t="n">
        <v>262680</v>
      </c>
      <c r="C150" s="6" t="n">
        <v>3599</v>
      </c>
      <c r="D150" s="45" t="n">
        <v>45883</v>
      </c>
      <c r="E150" s="6" t="s">
        <v>290</v>
      </c>
      <c r="F150" s="6" t="s">
        <v>259</v>
      </c>
      <c r="G150" s="15" t="n">
        <v>425</v>
      </c>
      <c r="H150" s="15" t="n">
        <v>425</v>
      </c>
      <c r="I150" s="15" t="n">
        <v>425</v>
      </c>
      <c r="J150" s="6" t="s">
        <v>64</v>
      </c>
      <c r="K150" s="6" t="s">
        <v>64</v>
      </c>
    </row>
    <row r="151" customFormat="false" ht="15" hidden="false" customHeight="false" outlineLevel="0" collapsed="false">
      <c r="A151" s="6" t="s">
        <v>138</v>
      </c>
      <c r="B151" s="6" t="n">
        <v>262680</v>
      </c>
      <c r="C151" s="6" t="n">
        <v>3643</v>
      </c>
      <c r="D151" s="45" t="n">
        <v>45908</v>
      </c>
      <c r="E151" s="6" t="s">
        <v>290</v>
      </c>
      <c r="F151" s="6" t="s">
        <v>259</v>
      </c>
      <c r="G151" s="15" t="n">
        <v>425</v>
      </c>
      <c r="H151" s="15" t="n">
        <v>175</v>
      </c>
      <c r="I151" s="15" t="n">
        <v>175</v>
      </c>
      <c r="J151" s="6" t="s">
        <v>64</v>
      </c>
      <c r="K151" s="46" t="s">
        <v>307</v>
      </c>
    </row>
    <row r="152" customFormat="false" ht="15" hidden="false" customHeight="false" outlineLevel="0" collapsed="false">
      <c r="A152" s="6" t="s">
        <v>138</v>
      </c>
      <c r="B152" s="6" t="n">
        <v>262680</v>
      </c>
      <c r="C152" s="6" t="n">
        <v>3696</v>
      </c>
      <c r="D152" s="45" t="n">
        <v>45938</v>
      </c>
      <c r="E152" s="6" t="s">
        <v>290</v>
      </c>
      <c r="F152" s="6" t="s">
        <v>259</v>
      </c>
      <c r="G152" s="15" t="n">
        <v>425</v>
      </c>
      <c r="H152" s="15" t="n">
        <v>425</v>
      </c>
      <c r="I152" s="15" t="n">
        <v>425</v>
      </c>
      <c r="J152" s="6" t="s">
        <v>64</v>
      </c>
      <c r="K152" s="6" t="s">
        <v>64</v>
      </c>
    </row>
    <row r="153" customFormat="false" ht="15" hidden="false" customHeight="false" outlineLevel="0" collapsed="false">
      <c r="A153" s="6" t="s">
        <v>138</v>
      </c>
      <c r="B153" s="6" t="n">
        <v>262680</v>
      </c>
      <c r="C153" s="6" t="n">
        <v>3749</v>
      </c>
      <c r="D153" s="45" t="n">
        <v>45969</v>
      </c>
      <c r="E153" s="6" t="s">
        <v>290</v>
      </c>
      <c r="F153" s="6" t="s">
        <v>259</v>
      </c>
      <c r="G153" s="15" t="n">
        <v>425</v>
      </c>
      <c r="H153" s="15" t="n">
        <v>425</v>
      </c>
      <c r="I153" s="15" t="n">
        <v>425</v>
      </c>
      <c r="J153" s="6" t="s">
        <v>64</v>
      </c>
      <c r="K153" s="6" t="s">
        <v>64</v>
      </c>
    </row>
    <row r="154" customFormat="false" ht="15" hidden="false" customHeight="false" outlineLevel="0" collapsed="false">
      <c r="A154" s="6" t="s">
        <v>138</v>
      </c>
      <c r="B154" s="6" t="n">
        <v>262680</v>
      </c>
      <c r="C154" s="6" t="n">
        <v>3828</v>
      </c>
      <c r="D154" s="45" t="n">
        <v>46012</v>
      </c>
      <c r="E154" s="6" t="s">
        <v>291</v>
      </c>
      <c r="F154" s="6" t="s">
        <v>256</v>
      </c>
      <c r="G154" s="15" t="n">
        <v>265</v>
      </c>
      <c r="H154" s="15" t="n">
        <v>265</v>
      </c>
      <c r="I154" s="15" t="n">
        <v>265</v>
      </c>
      <c r="J154" s="6" t="s">
        <v>64</v>
      </c>
      <c r="K154" s="6" t="s">
        <v>64</v>
      </c>
    </row>
    <row r="155" customFormat="false" ht="15" hidden="false" customHeight="false" outlineLevel="0" collapsed="false">
      <c r="A155" s="6" t="s">
        <v>138</v>
      </c>
      <c r="B155" s="6" t="n">
        <v>262680</v>
      </c>
      <c r="C155" s="6" t="n">
        <v>3885</v>
      </c>
      <c r="D155" s="45" t="n">
        <v>46043</v>
      </c>
      <c r="E155" s="6" t="s">
        <v>291</v>
      </c>
      <c r="F155" s="6" t="s">
        <v>256</v>
      </c>
      <c r="G155" s="15" t="n">
        <v>265</v>
      </c>
      <c r="H155" s="15" t="n">
        <v>265</v>
      </c>
      <c r="I155" s="15" t="n">
        <v>265</v>
      </c>
      <c r="J155" s="6" t="s">
        <v>64</v>
      </c>
      <c r="K155" s="6" t="s">
        <v>64</v>
      </c>
    </row>
    <row r="156" customFormat="false" ht="15" hidden="false" customHeight="false" outlineLevel="0" collapsed="false">
      <c r="A156" s="6" t="s">
        <v>138</v>
      </c>
      <c r="B156" s="6" t="n">
        <v>262680</v>
      </c>
      <c r="C156" s="6" t="n">
        <v>3937</v>
      </c>
      <c r="D156" s="45" t="n">
        <v>46074</v>
      </c>
      <c r="E156" s="6" t="s">
        <v>291</v>
      </c>
      <c r="F156" s="6" t="s">
        <v>256</v>
      </c>
      <c r="G156" s="15" t="n">
        <v>265</v>
      </c>
      <c r="H156" s="15" t="n">
        <v>265</v>
      </c>
      <c r="I156" s="15" t="n">
        <v>265</v>
      </c>
      <c r="J156" s="6" t="s">
        <v>64</v>
      </c>
      <c r="K156" s="6" t="s">
        <v>64</v>
      </c>
    </row>
    <row r="157" customFormat="false" ht="15" hidden="false" customHeight="false" outlineLevel="0" collapsed="false">
      <c r="A157" s="6" t="s">
        <v>138</v>
      </c>
      <c r="B157" s="6" t="n">
        <v>262680</v>
      </c>
      <c r="C157" s="6" t="n">
        <v>3985</v>
      </c>
      <c r="D157" s="45" t="n">
        <v>46102</v>
      </c>
      <c r="E157" s="6" t="s">
        <v>291</v>
      </c>
      <c r="F157" s="6" t="s">
        <v>256</v>
      </c>
      <c r="G157" s="15" t="n">
        <v>265</v>
      </c>
      <c r="H157" s="15" t="n">
        <v>265</v>
      </c>
      <c r="I157" s="15" t="n">
        <v>265</v>
      </c>
      <c r="J157" s="6" t="s">
        <v>64</v>
      </c>
      <c r="K157" s="6" t="s">
        <v>64</v>
      </c>
    </row>
    <row r="158" customFormat="false" ht="15" hidden="false" customHeight="false" outlineLevel="0" collapsed="false">
      <c r="A158" s="6" t="s">
        <v>138</v>
      </c>
      <c r="B158" s="6" t="n">
        <v>262680</v>
      </c>
      <c r="C158" s="6" t="n">
        <v>4044</v>
      </c>
      <c r="D158" s="45" t="n">
        <v>46133</v>
      </c>
      <c r="E158" s="6" t="s">
        <v>291</v>
      </c>
      <c r="F158" s="6" t="s">
        <v>256</v>
      </c>
      <c r="G158" s="15" t="n">
        <v>265</v>
      </c>
      <c r="H158" s="15" t="n">
        <v>265</v>
      </c>
      <c r="I158" s="15" t="n">
        <v>265</v>
      </c>
      <c r="J158" s="6" t="s">
        <v>64</v>
      </c>
      <c r="K158" s="6" t="s">
        <v>64</v>
      </c>
    </row>
    <row r="160" customFormat="false" ht="15" hidden="false" customHeight="false" outlineLevel="0" collapsed="false">
      <c r="A160" s="7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2026-07-25T20:45:45Z</dcterms:created>
  <dc:creator>openpyxl</dc:creator>
  <dc:description/>
  <dc:language>en-US</dc:language>
  <cp:lastModifiedBy/>
  <dcterms:modified xsi:type="dcterms:W3CDTF">2026-07-25T20:45:45Z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